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의사결정요약" sheetId="1" state="visible" r:id="rId1"/>
    <sheet name="변경이력" sheetId="2" state="visible" r:id="rId2"/>
    <sheet name="계약종별_쉬운설명" sheetId="3" state="visible" r:id="rId3"/>
    <sheet name="시간대_육지vs제주" sheetId="4" state="visible" r:id="rId4"/>
    <sheet name="주택용" sheetId="5" state="visible" r:id="rId5"/>
    <sheet name="요금구성_공통" sheetId="6" state="visible" r:id="rId6"/>
    <sheet name="일반용" sheetId="7" state="visible" r:id="rId7"/>
    <sheet name="산업용" sheetId="8" state="hidden" r:id="rId8"/>
    <sheet name="교육용" sheetId="9" state="hidden" r:id="rId9"/>
    <sheet name="농사용_가로등_심야" sheetId="10" state="hidden" r:id="rId10"/>
    <sheet name="전기차충전" sheetId="11" state="visible" r:id="rId11"/>
    <sheet name="DR_수요반응" sheetId="12" state="visible" r:id="rId12"/>
    <sheet name="ESS_DR_인센티브" sheetId="13" state="visible" r:id="rId13"/>
    <sheet name="출처" sheetId="14" state="visible" r:id="rId14"/>
  </sheets>
  <definedNames>
    <definedName name="_xlnm._FilterDatabase" localSheetId="6" hidden="1">'일반용'!$A$4:$I$55</definedName>
    <definedName name="_xlnm._FilterDatabase" localSheetId="7" hidden="1">'산업용'!$A$11:$L$58</definedName>
    <definedName name="_xlnm._FilterDatabase" localSheetId="8" hidden="1">'교육용'!$A$4:$I$23</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0.0%"/>
  </numFmts>
  <fonts count="29">
    <font>
      <name val="Calibri"/>
      <charset val="1"/>
      <family val="2"/>
      <color theme="1"/>
      <sz val="11"/>
    </font>
    <font>
      <name val="Arial"/>
      <family val="0"/>
      <sz val="10"/>
    </font>
    <font>
      <name val="Arial"/>
      <family val="0"/>
      <sz val="10"/>
    </font>
    <font>
      <name val="Arial"/>
      <family val="0"/>
      <sz val="10"/>
    </font>
    <font>
      <name val="Noto Sans CJK SC"/>
      <family val="2"/>
      <b val="1"/>
      <color rgb="FF1F4E78"/>
      <sz val="14"/>
    </font>
    <font>
      <name val="Arial"/>
      <charset val="1"/>
      <family val="0"/>
      <b val="1"/>
      <color rgb="FF1F4E78"/>
      <sz val="14"/>
    </font>
    <font>
      <name val="Noto Sans CJK SC"/>
      <family val="2"/>
      <i val="1"/>
      <color rgb="FF595959"/>
      <sz val="10"/>
    </font>
    <font>
      <name val="Arial"/>
      <charset val="1"/>
      <family val="0"/>
      <i val="1"/>
      <color rgb="FF595959"/>
      <sz val="10"/>
    </font>
    <font>
      <name val="Noto Sans CJK SC"/>
      <family val="2"/>
      <b val="1"/>
      <color rgb="FF1F4E78"/>
      <sz val="11"/>
    </font>
    <font>
      <name val="Arial"/>
      <charset val="1"/>
      <family val="0"/>
      <b val="1"/>
      <color rgb="FF1F4E78"/>
      <sz val="11"/>
    </font>
    <font>
      <name val="Noto Sans CJK SC"/>
      <family val="2"/>
      <color rgb="FF595959"/>
      <sz val="9"/>
    </font>
    <font>
      <name val="Arial"/>
      <charset val="1"/>
      <family val="0"/>
      <color rgb="FF595959"/>
      <sz val="9"/>
    </font>
    <font>
      <name val="Noto Sans CJK SC"/>
      <family val="2"/>
      <b val="1"/>
      <color rgb="FFFFFFFF"/>
      <sz val="10"/>
    </font>
    <font>
      <name val="Arial"/>
      <charset val="1"/>
      <family val="0"/>
      <b val="1"/>
      <color rgb="FFFFFFFF"/>
      <sz val="10"/>
    </font>
    <font>
      <name val="Noto Sans CJK SC"/>
      <family val="2"/>
      <sz val="10"/>
    </font>
    <font>
      <name val="Arial"/>
      <charset val="1"/>
      <family val="0"/>
      <sz val="10"/>
    </font>
    <font>
      <name val="Noto Sans CJK SC"/>
      <family val="2"/>
      <b val="1"/>
      <sz val="10"/>
    </font>
    <font>
      <name val="Arial"/>
      <charset val="1"/>
      <family val="0"/>
      <b val="1"/>
      <sz val="10"/>
    </font>
    <font>
      <name val="Arial"/>
      <charset val="1"/>
      <family val="0"/>
      <color rgb="FF0000FF"/>
      <sz val="10"/>
    </font>
    <font>
      <name val="Noto Sans CJK SC"/>
      <family val="2"/>
      <color rgb="FF0563C1"/>
      <sz val="9"/>
      <u val="single"/>
    </font>
    <font>
      <name val="Arial"/>
      <charset val="1"/>
      <family val="0"/>
      <color rgb="FF0563C1"/>
      <sz val="9"/>
      <u val="single"/>
    </font>
    <font>
      <name val="Noto Sans CJK SC"/>
      <b val="1"/>
      <color rgb="FFA83A24"/>
      <sz val="10"/>
    </font>
    <font>
      <name val="Noto Sans CJK SC"/>
      <b val="1"/>
      <color rgb="FF1F4E78"/>
      <sz val="14"/>
    </font>
    <font>
      <name val="Noto Sans CJK SC"/>
      <color rgb="FF595959"/>
      <sz val="10"/>
    </font>
    <font>
      <name val="Noto Sans CJK SC"/>
      <b val="1"/>
      <sz val="10"/>
    </font>
    <font>
      <name val="Noto Sans CJK SC"/>
      <b val="1"/>
      <color rgb="FFFFFFFF"/>
      <sz val="10"/>
    </font>
    <font>
      <name val="Noto Sans CJK SC"/>
      <sz val="10"/>
    </font>
    <font>
      <name val="Noto Sans CJK SC"/>
      <color rgb="FF595959"/>
      <sz val="9"/>
    </font>
    <font>
      <name val="Noto Sans CJK SC"/>
      <b val="1"/>
      <sz val="12"/>
    </font>
  </fonts>
  <fills count="18">
    <fill>
      <patternFill/>
    </fill>
    <fill>
      <patternFill patternType="gray125"/>
    </fill>
    <fill>
      <patternFill patternType="solid">
        <fgColor rgb="FFE2EFDA"/>
        <bgColor rgb="FFEDEDED"/>
      </patternFill>
    </fill>
    <fill>
      <patternFill patternType="solid">
        <fgColor rgb="FF1F4E78"/>
        <bgColor rgb="FF003366"/>
      </patternFill>
    </fill>
    <fill>
      <patternFill patternType="solid">
        <fgColor rgb="FFFFC7CE"/>
        <bgColor rgb="FFFCE4D6"/>
      </patternFill>
    </fill>
    <fill>
      <patternFill patternType="solid">
        <fgColor rgb="FFFCE4D6"/>
        <bgColor rgb="FFFFF2CC"/>
      </patternFill>
    </fill>
    <fill>
      <patternFill patternType="solid">
        <fgColor rgb="FFC6EFCE"/>
        <bgColor rgb="FFE2EFDA"/>
      </patternFill>
    </fill>
    <fill>
      <patternFill patternType="solid">
        <fgColor rgb="FFFFEB9C"/>
        <bgColor rgb="FFFFF2CC"/>
      </patternFill>
    </fill>
    <fill>
      <patternFill patternType="solid">
        <fgColor rgb="FFEDEDED"/>
        <bgColor rgb="FFE2EFDA"/>
      </patternFill>
    </fill>
    <fill>
      <patternFill patternType="solid">
        <fgColor rgb="FFBDD7EE"/>
        <bgColor rgb="FFD9E1F2"/>
      </patternFill>
    </fill>
    <fill>
      <patternFill patternType="solid">
        <fgColor rgb="FFFFF2CC"/>
        <bgColor rgb="FFFCE4D6"/>
      </patternFill>
    </fill>
    <fill>
      <patternFill patternType="solid">
        <fgColor rgb="FFD9E1F2"/>
        <bgColor rgb="FFE2EFDA"/>
      </patternFill>
    </fill>
    <fill>
      <patternFill patternType="solid">
        <fgColor rgb="FFFCE4D6"/>
      </patternFill>
    </fill>
    <fill>
      <patternFill patternType="solid">
        <fgColor rgb="FFD9E1F2"/>
      </patternFill>
    </fill>
    <fill>
      <patternFill patternType="solid">
        <fgColor rgb="FF1F4E78"/>
      </patternFill>
    </fill>
    <fill>
      <patternFill patternType="solid">
        <fgColor rgb="FFF2F2F2"/>
      </patternFill>
    </fill>
    <fill>
      <patternFill patternType="solid">
        <fgColor rgb="FFE2EFDA"/>
      </patternFill>
    </fill>
    <fill>
      <patternFill patternType="solid">
        <fgColor rgb="FFFFF2CC"/>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10" fillId="2" borderId="0" applyAlignment="1" pivotButton="0" quotePrefix="0" xfId="0">
      <alignment horizontal="general" vertical="top" wrapText="1"/>
    </xf>
    <xf numFmtId="0" fontId="12" fillId="3" borderId="1" applyAlignment="1" pivotButton="0" quotePrefix="0" xfId="0">
      <alignment horizontal="center" vertical="center" wrapText="1"/>
    </xf>
    <xf numFmtId="0" fontId="13" fillId="3" borderId="1" applyAlignment="1" pivotButton="0" quotePrefix="0" xfId="0">
      <alignment horizontal="center" vertical="center" wrapText="1"/>
    </xf>
    <xf numFmtId="0" fontId="14" fillId="0" borderId="1" applyAlignment="1" pivotButton="0" quotePrefix="0" xfId="0">
      <alignment horizontal="left" vertical="center" wrapText="1"/>
    </xf>
    <xf numFmtId="0" fontId="14" fillId="0" borderId="1" applyAlignment="1" pivotButton="0" quotePrefix="0" xfId="0">
      <alignment horizontal="center" vertical="center" wrapText="1"/>
    </xf>
    <xf numFmtId="0" fontId="15" fillId="0" borderId="1" applyAlignment="1" pivotButton="0" quotePrefix="0" xfId="0">
      <alignment horizontal="center" vertical="center" wrapText="1"/>
    </xf>
    <xf numFmtId="0" fontId="14" fillId="4" borderId="1" applyAlignment="1" pivotButton="0" quotePrefix="0" xfId="0">
      <alignment horizontal="center" vertical="center" wrapText="1"/>
    </xf>
    <xf numFmtId="0" fontId="15" fillId="0" borderId="1" applyAlignment="1" pivotButton="0" quotePrefix="0" xfId="0">
      <alignment horizontal="left" vertical="center" wrapText="1"/>
    </xf>
    <xf numFmtId="0" fontId="15" fillId="5" borderId="1" applyAlignment="1" pivotButton="0" quotePrefix="0" xfId="0">
      <alignment horizontal="center" vertical="center" wrapText="1"/>
    </xf>
    <xf numFmtId="0" fontId="11" fillId="2" borderId="0" applyAlignment="1" pivotButton="0" quotePrefix="0" xfId="0">
      <alignment horizontal="general" vertical="top" wrapText="1"/>
    </xf>
    <xf numFmtId="0" fontId="14" fillId="6" borderId="1" applyAlignment="1" pivotButton="0" quotePrefix="0" xfId="0">
      <alignment horizontal="center" vertical="center" wrapText="1"/>
    </xf>
    <xf numFmtId="0" fontId="14" fillId="7" borderId="1" applyAlignment="1" pivotButton="0" quotePrefix="0" xfId="0">
      <alignment horizontal="center" vertical="center" wrapText="1"/>
    </xf>
    <xf numFmtId="0" fontId="15"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0" fillId="0" borderId="0" applyAlignment="1" pivotButton="0" quotePrefix="0" xfId="0">
      <alignment horizontal="general" vertical="top" wrapText="1"/>
    </xf>
    <xf numFmtId="0" fontId="9" fillId="0" borderId="0" applyAlignment="1" pivotButton="0" quotePrefix="0" xfId="0">
      <alignment horizontal="general" vertical="bottom"/>
    </xf>
    <xf numFmtId="3" fontId="15" fillId="0" borderId="1" applyAlignment="1" pivotButton="0" quotePrefix="0" xfId="0">
      <alignment horizontal="center" vertical="center" wrapText="1"/>
    </xf>
    <xf numFmtId="164" fontId="15" fillId="0" borderId="1" applyAlignment="1" pivotButton="0" quotePrefix="0" xfId="0">
      <alignment horizontal="center" vertical="center" wrapText="1"/>
    </xf>
    <xf numFmtId="0" fontId="16" fillId="0" borderId="1" applyAlignment="1" pivotButton="0" quotePrefix="0" xfId="0">
      <alignment horizontal="general" vertical="bottom"/>
    </xf>
    <xf numFmtId="3" fontId="18" fillId="0" borderId="1" applyAlignment="1" pivotButton="0" quotePrefix="0" xfId="0">
      <alignment horizontal="center" vertical="bottom"/>
    </xf>
    <xf numFmtId="0" fontId="10" fillId="0" borderId="0" applyAlignment="1" pivotButton="0" quotePrefix="0" xfId="0">
      <alignment horizontal="general" vertical="bottom"/>
    </xf>
    <xf numFmtId="0" fontId="15" fillId="0" borderId="1" applyAlignment="1" pivotButton="0" quotePrefix="0" xfId="0">
      <alignment horizontal="general" vertical="bottom"/>
    </xf>
    <xf numFmtId="3" fontId="15" fillId="0" borderId="1" applyAlignment="1" pivotButton="0" quotePrefix="0" xfId="0">
      <alignment horizontal="center" vertical="bottom"/>
    </xf>
    <xf numFmtId="0" fontId="14" fillId="0" borderId="1" applyAlignment="1" pivotButton="0" quotePrefix="0" xfId="0">
      <alignment horizontal="general" vertical="bottom"/>
    </xf>
    <xf numFmtId="0" fontId="14" fillId="5" borderId="1" applyAlignment="1" pivotButton="0" quotePrefix="0" xfId="0">
      <alignment horizontal="left" vertical="center" wrapText="1"/>
    </xf>
    <xf numFmtId="0" fontId="10" fillId="5" borderId="0" applyAlignment="1" pivotButton="0" quotePrefix="0" xfId="0">
      <alignment horizontal="general" vertical="top" wrapText="1"/>
    </xf>
    <xf numFmtId="0" fontId="7" fillId="0" borderId="0" applyAlignment="1" pivotButton="0" quotePrefix="0" xfId="0">
      <alignment horizontal="general" vertical="bottom"/>
    </xf>
    <xf numFmtId="0" fontId="18" fillId="0" borderId="1" applyAlignment="1" pivotButton="0" quotePrefix="0" xfId="0">
      <alignment horizontal="center" vertical="center" wrapText="1"/>
    </xf>
    <xf numFmtId="165" fontId="18" fillId="0" borderId="1" applyAlignment="1" pivotButton="0" quotePrefix="0" xfId="0">
      <alignment horizontal="center" vertical="center" wrapText="1"/>
    </xf>
    <xf numFmtId="0" fontId="16" fillId="11" borderId="1" applyAlignment="1" pivotButton="0" quotePrefix="0" xfId="0">
      <alignment horizontal="left" vertical="center"/>
    </xf>
    <xf numFmtId="0" fontId="14" fillId="5" borderId="1" applyAlignment="1" pivotButton="0" quotePrefix="0" xfId="0">
      <alignment horizontal="center" vertical="center" wrapText="1"/>
    </xf>
    <xf numFmtId="164" fontId="15" fillId="10" borderId="1" applyAlignment="1" pivotButton="0" quotePrefix="0" xfId="0">
      <alignment horizontal="center" vertical="center" wrapText="1"/>
    </xf>
    <xf numFmtId="0" fontId="5" fillId="0" borderId="0" applyAlignment="1" pivotButton="0" quotePrefix="0" xfId="0">
      <alignment horizontal="general" vertical="bottom"/>
    </xf>
    <xf numFmtId="0" fontId="15" fillId="5" borderId="1" applyAlignment="1" pivotButton="0" quotePrefix="0" xfId="0">
      <alignment horizontal="left" vertical="center" wrapText="1"/>
    </xf>
    <xf numFmtId="0" fontId="19" fillId="0" borderId="1" applyAlignment="1" pivotButton="0" quotePrefix="0" xfId="0">
      <alignment horizontal="left" vertical="center" wrapText="1"/>
    </xf>
    <xf numFmtId="0" fontId="20" fillId="0"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10" fillId="2" borderId="0" applyAlignment="1" pivotButton="0" quotePrefix="0" xfId="0">
      <alignment horizontal="general" vertical="top" wrapText="1"/>
    </xf>
    <xf numFmtId="0" fontId="12" fillId="3" borderId="1" applyAlignment="1" pivotButton="0" quotePrefix="0" xfId="0">
      <alignment horizontal="center" vertical="center" wrapText="1"/>
    </xf>
    <xf numFmtId="0" fontId="13" fillId="3" borderId="1" applyAlignment="1" pivotButton="0" quotePrefix="0" xfId="0">
      <alignment horizontal="center" vertical="center" wrapText="1"/>
    </xf>
    <xf numFmtId="0" fontId="14" fillId="0" borderId="1" applyAlignment="1" pivotButton="0" quotePrefix="0" xfId="0">
      <alignment horizontal="left" vertical="center" wrapText="1"/>
    </xf>
    <xf numFmtId="0" fontId="14" fillId="0" borderId="1" applyAlignment="1" pivotButton="0" quotePrefix="0" xfId="0">
      <alignment horizontal="center" vertical="center" wrapText="1"/>
    </xf>
    <xf numFmtId="0" fontId="15" fillId="0" borderId="1" applyAlignment="1" pivotButton="0" quotePrefix="0" xfId="0">
      <alignment horizontal="center" vertical="center" wrapText="1"/>
    </xf>
    <xf numFmtId="0" fontId="14" fillId="4" borderId="1" applyAlignment="1" pivotButton="0" quotePrefix="0" xfId="0">
      <alignment horizontal="center" vertical="center" wrapText="1"/>
    </xf>
    <xf numFmtId="0" fontId="15" fillId="0" borderId="1" applyAlignment="1" pivotButton="0" quotePrefix="0" xfId="0">
      <alignment horizontal="left" vertical="center" wrapText="1"/>
    </xf>
    <xf numFmtId="0" fontId="11" fillId="2" borderId="0" applyAlignment="1" pivotButton="0" quotePrefix="0" xfId="0">
      <alignment horizontal="general" vertical="top" wrapText="1"/>
    </xf>
    <xf numFmtId="0" fontId="11" fillId="2" borderId="0" applyAlignment="1" pivotButton="0" quotePrefix="0" xfId="0">
      <alignment horizontal="general" vertical="top" wrapText="1"/>
    </xf>
    <xf numFmtId="0" fontId="14" fillId="6" borderId="1" applyAlignment="1" pivotButton="0" quotePrefix="0" xfId="0">
      <alignment horizontal="center" vertical="center" wrapText="1"/>
    </xf>
    <xf numFmtId="0" fontId="14" fillId="7" borderId="1" applyAlignment="1" pivotButton="0" quotePrefix="0" xfId="0">
      <alignment horizontal="center" vertical="center" wrapText="1"/>
    </xf>
    <xf numFmtId="0" fontId="15"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0" fillId="0" borderId="0" applyAlignment="1" pivotButton="0" quotePrefix="0" xfId="0">
      <alignment horizontal="general" vertical="top" wrapText="1"/>
    </xf>
    <xf numFmtId="0" fontId="9" fillId="0" borderId="0" applyAlignment="1" pivotButton="0" quotePrefix="0" xfId="0">
      <alignment horizontal="general" vertical="bottom"/>
    </xf>
    <xf numFmtId="3" fontId="15" fillId="0" borderId="1" applyAlignment="1" pivotButton="0" quotePrefix="0" xfId="0">
      <alignment horizontal="center" vertical="center" wrapText="1"/>
    </xf>
    <xf numFmtId="164" fontId="15" fillId="0" borderId="1" applyAlignment="1" pivotButton="0" quotePrefix="0" xfId="0">
      <alignment horizontal="center" vertical="center" wrapText="1"/>
    </xf>
    <xf numFmtId="0" fontId="16" fillId="0" borderId="1" applyAlignment="1" pivotButton="0" quotePrefix="0" xfId="0">
      <alignment horizontal="general" vertical="bottom"/>
    </xf>
    <xf numFmtId="3" fontId="18" fillId="0" borderId="1" applyAlignment="1" pivotButton="0" quotePrefix="0" xfId="0">
      <alignment horizontal="center" vertical="bottom"/>
    </xf>
    <xf numFmtId="0" fontId="10" fillId="0" borderId="0" applyAlignment="1" pivotButton="0" quotePrefix="0" xfId="0">
      <alignment horizontal="general" vertical="bottom"/>
    </xf>
    <xf numFmtId="0" fontId="15" fillId="0" borderId="1" applyAlignment="1" pivotButton="0" quotePrefix="0" xfId="0">
      <alignment horizontal="general" vertical="bottom"/>
    </xf>
    <xf numFmtId="3" fontId="15" fillId="0" borderId="1" applyAlignment="1" pivotButton="0" quotePrefix="0" xfId="0">
      <alignment horizontal="center" vertical="bottom"/>
    </xf>
    <xf numFmtId="0" fontId="14" fillId="0" borderId="1" applyAlignment="1" pivotButton="0" quotePrefix="0" xfId="0">
      <alignment horizontal="general" vertical="bottom"/>
    </xf>
    <xf numFmtId="0" fontId="0" fillId="0" borderId="4" pivotButton="0" quotePrefix="0" xfId="0"/>
    <xf numFmtId="0" fontId="0" fillId="0" borderId="5" pivotButton="0" quotePrefix="0" xfId="0"/>
    <xf numFmtId="0" fontId="7" fillId="0" borderId="0" applyAlignment="1" pivotButton="0" quotePrefix="0" xfId="0">
      <alignment horizontal="general" vertical="bottom"/>
    </xf>
    <xf numFmtId="0" fontId="18" fillId="0" borderId="1" applyAlignment="1" pivotButton="0" quotePrefix="0" xfId="0">
      <alignment horizontal="center" vertical="center" wrapText="1"/>
    </xf>
    <xf numFmtId="165" fontId="18" fillId="0" borderId="1" applyAlignment="1" pivotButton="0" quotePrefix="0" xfId="0">
      <alignment horizontal="center" vertical="center" wrapText="1"/>
    </xf>
    <xf numFmtId="0" fontId="16" fillId="11" borderId="1" applyAlignment="1" pivotButton="0" quotePrefix="0" xfId="0">
      <alignment horizontal="left" vertical="center"/>
    </xf>
    <xf numFmtId="0" fontId="14" fillId="5" borderId="1" applyAlignment="1" pivotButton="0" quotePrefix="0" xfId="0">
      <alignment horizontal="center" vertical="center" wrapText="1"/>
    </xf>
    <xf numFmtId="164" fontId="15" fillId="10" borderId="1" applyAlignment="1" pivotButton="0" quotePrefix="0" xfId="0">
      <alignment horizontal="center" vertical="center" wrapText="1"/>
    </xf>
    <xf numFmtId="0" fontId="15" fillId="5" borderId="1" applyAlignment="1" pivotButton="0" quotePrefix="0" xfId="0">
      <alignment horizontal="center" vertical="center" wrapText="1"/>
    </xf>
    <xf numFmtId="0" fontId="5" fillId="0" borderId="0" applyAlignment="1" pivotButton="0" quotePrefix="0" xfId="0">
      <alignment horizontal="general" vertical="bottom"/>
    </xf>
    <xf numFmtId="0" fontId="19" fillId="0" borderId="1" applyAlignment="1" pivotButton="0" quotePrefix="0" xfId="0">
      <alignment horizontal="left" vertical="center" wrapText="1"/>
    </xf>
    <xf numFmtId="0" fontId="20" fillId="0" borderId="1" applyAlignment="1" pivotButton="0" quotePrefix="0" xfId="0">
      <alignment horizontal="left" vertical="center" wrapText="1"/>
    </xf>
    <xf numFmtId="0" fontId="15"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center" wrapText="1"/>
    </xf>
    <xf numFmtId="0" fontId="20" fillId="0" borderId="1" applyAlignment="1" pivotButton="0" quotePrefix="0" xfId="0">
      <alignment horizontal="left" vertical="center" wrapText="1"/>
    </xf>
    <xf numFmtId="0" fontId="15" fillId="12" borderId="1" applyAlignment="1" pivotButton="0" quotePrefix="0" xfId="0">
      <alignment horizontal="center" vertical="center" wrapText="1"/>
    </xf>
    <xf numFmtId="0" fontId="21" fillId="12" borderId="0" applyAlignment="1" pivotButton="0" quotePrefix="0" xfId="0">
      <alignment vertical="center" wrapText="1"/>
    </xf>
    <xf numFmtId="0" fontId="14" fillId="0" borderId="1" applyAlignment="1" pivotButton="0" quotePrefix="0" xfId="0">
      <alignment vertical="center" wrapText="1"/>
    </xf>
    <xf numFmtId="0" fontId="15" fillId="0" borderId="1" applyAlignment="1" pivotButton="0" quotePrefix="0" xfId="0">
      <alignment vertical="center" wrapText="1"/>
    </xf>
    <xf numFmtId="0" fontId="22" fillId="0" borderId="0" pivotButton="0" quotePrefix="0" xfId="0"/>
    <xf numFmtId="0" fontId="23" fillId="0" borderId="0" pivotButton="0" quotePrefix="0" xfId="0"/>
    <xf numFmtId="0" fontId="24" fillId="13" borderId="6" applyAlignment="1" pivotButton="0" quotePrefix="0" xfId="0">
      <alignment vertical="center"/>
    </xf>
    <xf numFmtId="0" fontId="0" fillId="0" borderId="6" pivotButton="0" quotePrefix="0" xfId="0"/>
    <xf numFmtId="0" fontId="25" fillId="14" borderId="6" applyAlignment="1" pivotButton="0" quotePrefix="0" xfId="0">
      <alignment horizontal="center" vertical="center" wrapText="1"/>
    </xf>
    <xf numFmtId="0" fontId="24" fillId="15" borderId="6" applyAlignment="1" pivotButton="0" quotePrefix="0" xfId="0">
      <alignment horizontal="left" vertical="center" wrapText="1"/>
    </xf>
    <xf numFmtId="0" fontId="26" fillId="0" borderId="6" applyAlignment="1" pivotButton="0" quotePrefix="0" xfId="0">
      <alignment horizontal="left" vertical="center" wrapText="1"/>
    </xf>
    <xf numFmtId="0" fontId="27" fillId="16" borderId="0" applyAlignment="1" pivotButton="0" quotePrefix="0" xfId="0">
      <alignment vertical="center" wrapText="1"/>
    </xf>
    <xf numFmtId="0" fontId="23" fillId="0" borderId="0" applyAlignment="1" pivotButton="0" quotePrefix="0" xfId="0">
      <alignment vertical="center" wrapText="1"/>
    </xf>
    <xf numFmtId="0" fontId="26" fillId="17" borderId="6" applyAlignment="1" pivotButton="0" quotePrefix="0" xfId="0">
      <alignment horizontal="left" vertical="center" wrapText="1"/>
    </xf>
    <xf numFmtId="0" fontId="26" fillId="12" borderId="6" applyAlignment="1" pivotButton="0" quotePrefix="0" xfId="0">
      <alignment horizontal="left" vertical="center" wrapText="1"/>
    </xf>
    <xf numFmtId="0" fontId="28" fillId="0" borderId="0" pivotButton="0" quotePrefix="0" xfId="0"/>
    <xf numFmtId="0" fontId="24" fillId="0" borderId="7" applyAlignment="1" pivotButton="0" quotePrefix="0" xfId="0">
      <alignment horizontal="left" vertical="center" wrapText="1"/>
    </xf>
    <xf numFmtId="0" fontId="26" fillId="0" borderId="7"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4E78"/>
          <bgColor rgb="FF000000"/>
        </patternFill>
      </fill>
    </dxf>
    <dxf>
      <fill>
        <patternFill patternType="solid">
          <fgColor rgb="FFD9E1F2"/>
          <bgColor rgb="FF000000"/>
        </patternFill>
      </fill>
    </dxf>
    <dxf>
      <fill>
        <patternFill patternType="solid">
          <bgColor rgb="FF000000"/>
        </patternFill>
      </fill>
    </dxf>
    <dxf>
      <fill>
        <patternFill patternType="solid">
          <fgColor rgb="FF595959"/>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EDEDED"/>
      <rgbColor rgb="FFC6EFCE"/>
      <rgbColor rgb="FFFFEB9C"/>
      <rgbColor rgb="FFD9E1F2"/>
      <rgbColor rgb="FFFCE4D6"/>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4.xml.rels><Relationships xmlns="http://schemas.openxmlformats.org/package/2006/relationships"><Relationship Type="http://schemas.openxmlformats.org/officeDocument/2006/relationships/hyperlink" Target="&#54532;&#47196;&#51229;&#53944;%20&#47928;&#49436;:%20&#44592;&#48376;&#44277;&#44553;&#50557;&#44288;%20&#48143;%20&#49884;&#54665;&#49464;&#52825;(260801).pdf" TargetMode="External" Id="rId1" /><Relationship Type="http://schemas.openxmlformats.org/officeDocument/2006/relationships/hyperlink" Target="https://mcee.go.kr/home/web/board/read.do?boardCategoryId=&amp;boardId=1857140&amp;boardMasterId=939&amp;menuId=10598" TargetMode="External" Id="rId2" /><Relationship Type="http://schemas.openxmlformats.org/officeDocument/2006/relationships/hyperlink" Target="https://www.korea.kr/news/policyNewsView.do?newsId=148960823" TargetMode="External" Id="rId3" /><Relationship Type="http://schemas.openxmlformats.org/officeDocument/2006/relationships/hyperlink" Target="https://www.korea.kr/news/policyNewsView.do?newsId=148962675" TargetMode="External" Id="rId4" /><Relationship Type="http://schemas.openxmlformats.org/officeDocument/2006/relationships/hyperlink" Target="https://www.korea.kr/briefing/policyBriefingView.do?newsId=156755866" TargetMode="External" Id="rId5" /><Relationship Type="http://schemas.openxmlformats.org/officeDocument/2006/relationships/hyperlink" Target="https://data.cmpi.or.kr/program/board/2025.04.01%20&#49884;&#54665;.pdf" TargetMode="External" Id="rId6" /><Relationship Type="http://schemas.openxmlformats.org/officeDocument/2006/relationships/hyperlink" Target="https://myunggun.com/2026&#45380;-4&#50900;-16&#51068;-&#51204;&#44592;&#50836;&#44552;-&#44060;&#54200;&#50504;-&#49884;&#54665;-&#51221;&#48372;-&#51221;&#47532;/" TargetMode="External" Id="rId7" /><Relationship Type="http://schemas.openxmlformats.org/officeDocument/2006/relationships/hyperlink" Target="https://zdnet.co.kr/view/?no=20260622094221" TargetMode="External" Id="rId8" /><Relationship Type="http://schemas.openxmlformats.org/officeDocument/2006/relationships/hyperlink" Target="https://edaily.co.kr/News/Read?mediaCodeNo=257&amp;newsId=02027046645484344" TargetMode="External" Id="rId9" /><Relationship Type="http://schemas.openxmlformats.org/officeDocument/2006/relationships/hyperlink" Target="https://www.electimes.com/news/articleView.html?idxno=334694" TargetMode="External" Id="rId10" /><Relationship Type="http://schemas.openxmlformats.org/officeDocument/2006/relationships/hyperlink" Target="https://www.energy-news.co.kr/news/articleView.html?idxno=77182" TargetMode="External" Id="rId11" /><Relationship Type="http://schemas.openxmlformats.org/officeDocument/2006/relationships/hyperlink" Target="https://zdnet.co.kr/view/?no=20210625173955" TargetMode="External" Id="rId12" /><Relationship Type="http://schemas.openxmlformats.org/officeDocument/2006/relationships/hyperlink" Target="https://www.sedaily.com/article/13984803" TargetMode="External" Id="rId13" /><Relationship Type="http://schemas.openxmlformats.org/officeDocument/2006/relationships/hyperlink" Target="https://namu.wiki/w/&#51204;&#44592;&#50836;&#44552;" TargetMode="External" Id="rId14" /><Relationship Type="http://schemas.openxmlformats.org/officeDocument/2006/relationships/hyperlink" Target="https://www.electimes.com/news/articleView.html?idxno=366220" TargetMode="External" Id="rId15" /><Relationship Type="http://schemas.openxmlformats.org/officeDocument/2006/relationships/hyperlink" Target="https://www.hvacrj.co.kr/news/articleView.html?idxno=30826" TargetMode="External" Id="rId16" /><Relationship Type="http://schemas.openxmlformats.org/officeDocument/2006/relationships/hyperlink" Target="https://www.korea.kr/news/policyNewsView.do?newsId=148970678" TargetMode="External" Id="rId17" /><Relationship Type="http://schemas.openxmlformats.org/officeDocument/2006/relationships/hyperlink" Target="https://www.ajunews.com/view/20260804131736213" TargetMode="External" Id="rId18" /><Relationship Type="http://schemas.openxmlformats.org/officeDocument/2006/relationships/hyperlink" Target="https://www.industrynews.co.kr/news/articleView.html?idxno=40764" TargetMode="External" Id="rId19" /><Relationship Type="http://schemas.openxmlformats.org/officeDocument/2006/relationships/hyperlink" Target="https://www.fntimes.com/html/view.php?ud=20200630155011387355469ec131_18" TargetMode="External" Id="rId20" /><Relationship Type="http://schemas.openxmlformats.org/officeDocument/2006/relationships/hyperlink" Target="https://www.electimes.com/news/articleView.html?idxno=369659" TargetMode="External" Id="rId21" /><Relationship Type="http://schemas.openxmlformats.org/officeDocument/2006/relationships/hyperlink" Target="https://www.kia.com/kr/vehicles/kia-ev/guide/economy" TargetMode="External" Id="rId22" /><Relationship Type="http://schemas.openxmlformats.org/officeDocument/2006/relationships/hyperlink" Target="https://www.fnnews.com/news/202206291833431961" TargetMode="External" Id="rId23" /><Relationship Type="http://schemas.openxmlformats.org/officeDocument/2006/relationships/hyperlink" Target="https://www.electimes.com/news/articleView.html?idxno=367002" TargetMode="External" Id="rId24" /><Relationship Type="http://schemas.openxmlformats.org/officeDocument/2006/relationships/hyperlink" Target="https://www.snmnews.com/news/articleView.html?idxno=566434" TargetMode="External" Id="rId25" /><Relationship Type="http://schemas.openxmlformats.org/officeDocument/2006/relationships/hyperlink" Target="https://m.dnews.co.kr/m_home/view.jsp?idxno=202305031008070610484" TargetMode="External" Id="rId26" /><Relationship Type="http://schemas.openxmlformats.org/officeDocument/2006/relationships/hyperlink" Target="https://www.skenews.kr/news/articleView.html?idxno=52368" TargetMode="External" Id="rId27" /><Relationship Type="http://schemas.openxmlformats.org/officeDocument/2006/relationships/hyperlink" Target="https://cozymake.kr/electricity-rate-time-of-use-structure-2026/" TargetMode="External" Id="rId28" /><Relationship Type="http://schemas.openxmlformats.org/officeDocument/2006/relationships/hyperlink" Target="https://online.kepco.co.kr/PRM004D00" TargetMode="External" Id="rId29" /><Relationship Type="http://schemas.openxmlformats.org/officeDocument/2006/relationships/hyperlink" Target="https://www.todayenergy.kr/news/articleView.html?idxno=295257" TargetMode="External" Id="rId30" /><Relationship Type="http://schemas.openxmlformats.org/officeDocument/2006/relationships/hyperlink" Target="https://jejupod.com/2026/03/23/jeju_heatingpump_support/" TargetMode="External" Id="rId31" /><Relationship Type="http://schemas.openxmlformats.org/officeDocument/2006/relationships/hyperlink" Target="https://www.kharn.kr/news/article.html?no=31557" TargetMode="External" Id="rId32" /></Relationships>
</file>

<file path=xl/worksheets/sheet1.xml><?xml version="1.0" encoding="utf-8"?>
<worksheet xmlns="http://schemas.openxmlformats.org/spreadsheetml/2006/main">
  <sheetPr filterMode="0">
    <outlinePr summaryBelow="1" summaryRight="1"/>
    <pageSetUpPr fitToPage="1"/>
  </sheetPr>
  <dimension ref="A1:F52"/>
  <sheetViews>
    <sheetView showFormulas="0" showGridLines="1" showRowColHeaders="1" showZeros="1" rightToLeft="0" tabSelected="1" showOutlineSymbols="1" defaultGridColor="1"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41" min="1" max="1"/>
    <col width="40" customWidth="1" style="41" min="2" max="2"/>
    <col width="34" customWidth="1" style="41" min="3" max="3"/>
    <col width="20" customWidth="1" style="41" min="4" max="4"/>
    <col width="46" customWidth="1" style="41" min="5" max="5"/>
    <col width="22" customWidth="1" style="41" min="6" max="6"/>
  </cols>
  <sheetData>
    <row r="1" ht="21.6" customHeight="1" s="42">
      <c r="A1" s="43" t="inlineStr">
        <is>
          <t>한전 전기요금 2026 — HEMS 의사결정 요약</t>
        </is>
      </c>
    </row>
    <row r="2" ht="15" customHeight="1" s="42">
      <c r="A2" s="44" t="inlineStr">
        <is>
          <t>기준일 2026-09-15 · 셀 색상: 흰색=확정(1차·요금표 근거) / 노랑=추정·산출 / 주황=확인필요 · 출처ID는 '출처' 시트 참조 (A1=약관, A2=시행세칙)</t>
        </is>
      </c>
    </row>
    <row r="4" ht="17.15" customHeight="1" s="42">
      <c r="A4" s="45" t="inlineStr">
        <is>
          <t>결론 1. 육지/제주는 분리해야 하는가?  →  '단가표'는 1벌, '시간대·선택요금제·인센티브'는 지역별로 분리</t>
        </is>
      </c>
    </row>
    <row r="5" ht="61.5" customHeight="1" s="42">
      <c r="A5" s="46" t="inlineStr">
        <is>
          <t>한전 기본·전력량 단가는 전국 단일 요금표이므로 단가 DB를 지역별로 따로 둘 필요는 없다(S05). 그러나 계시별 시간대 정의(제주는 2021.9부터 최대부하 16~22시, 육지는 2026.4.16 개편으로 평일 15~21시), 주택용 계시별 선택요금 가입 자격(제주는 주거용 전 가구, 육지는 인증 지열·공기열 설비 설치 가구만 — 세칙 제48조의5), 산업용 지역별 차등요금(제주 제외)이 다르다. 플러스DR은 2024.3 육지에도 신설되어 제주 전용이 아니며(S32), 시장만 육지권/제주권으로 분리 운영된다. 따라서 HEMS 스케줄러는 '지역' 파라미터로 시간대 테이블과 적용 가능 요금제를 분기하는 구조가 맞다.</t>
        </is>
      </c>
    </row>
    <row r="7" ht="30" customHeight="1" s="42">
      <c r="A7" s="47" t="inlineStr">
        <is>
          <t>비교 항목</t>
        </is>
      </c>
      <c r="B7" s="47" t="inlineStr">
        <is>
          <t>육지</t>
        </is>
      </c>
      <c r="C7" s="47" t="inlineStr">
        <is>
          <t>제주</t>
        </is>
      </c>
      <c r="D7" s="47" t="inlineStr">
        <is>
          <t>차이</t>
        </is>
      </c>
      <c r="E7" s="48" t="inlineStr">
        <is>
          <t>HEMS 시사점</t>
        </is>
      </c>
      <c r="F7" s="47" t="inlineStr">
        <is>
          <t>근거 / 상태</t>
        </is>
      </c>
    </row>
    <row r="8" ht="45.75" customHeight="1" s="42">
      <c r="A8" s="83" t="inlineStr">
        <is>
          <t>기본·전력량 단가표</t>
        </is>
      </c>
      <c r="B8" s="83" t="inlineStr">
        <is>
          <t>전국 단일 요금표</t>
        </is>
      </c>
      <c r="C8" s="83" t="inlineStr">
        <is>
          <t>동일</t>
        </is>
      </c>
      <c r="D8" s="50" t="inlineStr">
        <is>
          <t>동일</t>
        </is>
      </c>
      <c r="E8" s="83" t="inlineStr">
        <is>
          <t>단가 DB는 1벌로 관리</t>
        </is>
      </c>
      <c r="F8" s="82" t="inlineStr">
        <is>
          <t>S05 / 확정</t>
        </is>
      </c>
    </row>
    <row r="9" ht="45.75" customHeight="1" s="42">
      <c r="A9" s="83" t="inlineStr">
        <is>
          <t>주택용 누진제(기본값)</t>
        </is>
      </c>
      <c r="B9" s="83" t="inlineStr">
        <is>
          <t>적용 (저압 200/400kWh, 하계 300/450kWh 경계)</t>
        </is>
      </c>
      <c r="C9" s="83" t="inlineStr">
        <is>
          <t>동일</t>
        </is>
      </c>
      <c r="D9" s="50" t="inlineStr">
        <is>
          <t>동일</t>
        </is>
      </c>
      <c r="E9" s="83" t="inlineStr">
        <is>
          <t>누진구간 관리 로직은 공통</t>
        </is>
      </c>
      <c r="F9" s="82" t="inlineStr">
        <is>
          <t>S05 / 확정</t>
        </is>
      </c>
    </row>
    <row r="10" ht="45.75" customHeight="1" s="42">
      <c r="A10" s="83" t="inlineStr">
        <is>
          <t>주택용 계시별 선택요금</t>
        </is>
      </c>
      <c r="B10" s="83" t="inlineStr">
        <is>
          <t>인증 지열·공기열 설비 설치 주거용 고객만 선택 가능 (2026.4.1~; 해당 설비에 일반용 별도 적용 중이면 제외)</t>
        </is>
      </c>
      <c r="C10" s="83" t="inlineStr">
        <is>
          <t>주거용 전 가구 선택 가능 (2021.9.1~, 세칙 부칙 2021.6.25)</t>
        </is>
      </c>
      <c r="D10" s="52" t="inlineStr">
        <is>
          <t>다름</t>
        </is>
      </c>
      <c r="E10" s="83" t="inlineStr">
        <is>
          <t>제주 가구는 부하이동(시간대 최적화)으로 요금 절감 가능 → HEMS 가치가 가장 큰 지역</t>
        </is>
      </c>
      <c r="F10" s="82" t="inlineStr">
        <is>
          <t>A2 제48조의5 / 확정</t>
        </is>
      </c>
    </row>
    <row r="11" ht="45.75" customHeight="1" s="42">
      <c r="A11" s="83" t="inlineStr">
        <is>
          <t>계시별 최대부하 시간(평일) — 계시별 적용 종별만</t>
        </is>
      </c>
      <c r="B11" s="83" t="inlineStr">
        <is>
          <t>여름·봄·가을 15~21시 / 겨울 09~12시·16~19시</t>
        </is>
      </c>
      <c r="C11" s="84" t="inlineStr">
        <is>
          <t>16~22시 (모든 계절)</t>
        </is>
      </c>
      <c r="D11" s="52" t="inlineStr">
        <is>
          <t>다름</t>
        </is>
      </c>
      <c r="E11" s="83" t="inlineStr">
        <is>
          <t>시간대 테이블을 지역별로 분리. 육지는 계절 분기까지 필요, 제주는 계절 무관 단일. 단, 지역만으로 적용 금지 — 계약종별·선택요금제까지 확인(주택용 누진제는 시간대 없음)</t>
        </is>
      </c>
      <c r="F11" s="82" t="inlineStr">
        <is>
          <t>A1 별표3 / 확정</t>
        </is>
      </c>
    </row>
    <row r="12" ht="45.75" customHeight="1" s="42">
      <c r="A12" s="83" t="inlineStr">
        <is>
          <t>계시별 중간부하(낮)</t>
        </is>
      </c>
      <c r="B12" s="83" t="inlineStr">
        <is>
          <t>여름·봄·가을 08~15시·21~22시 / 겨울 08~09·12~16·19~22시</t>
        </is>
      </c>
      <c r="C12" s="84" t="inlineStr">
        <is>
          <t>08~16시</t>
        </is>
      </c>
      <c r="D12" s="52" t="inlineStr">
        <is>
          <t>다름</t>
        </is>
      </c>
      <c r="E12" s="83" t="inlineStr">
        <is>
          <t>낮 시간 태양광 잉여 흡수 구간은 두 지역 모두 '중간부하'</t>
        </is>
      </c>
      <c r="F12" s="82" t="inlineStr">
        <is>
          <t>A1 별표3 / 확정</t>
        </is>
      </c>
    </row>
    <row r="13" ht="45.75" customHeight="1" s="42">
      <c r="A13" s="83" t="inlineStr">
        <is>
          <t>경부하</t>
        </is>
      </c>
      <c r="B13" s="84" t="inlineStr">
        <is>
          <t>22~08시 (전 계절)</t>
        </is>
      </c>
      <c r="C13" s="84" t="inlineStr">
        <is>
          <t>22~08시 (전 계절)</t>
        </is>
      </c>
      <c r="D13" s="50" t="inlineStr">
        <is>
          <t>동일</t>
        </is>
      </c>
      <c r="E13" s="83" t="inlineStr">
        <is>
          <t>야간 충전·축열 전략은 공통</t>
        </is>
      </c>
      <c r="F13" s="82" t="inlineStr">
        <is>
          <t>A1 별표3 / 확정</t>
        </is>
      </c>
    </row>
    <row r="14" ht="45.75" customHeight="1" s="42">
      <c r="A14" s="83" t="inlineStr">
        <is>
          <t>토요일·공휴일 계량 특례</t>
        </is>
      </c>
      <c r="B14" s="83" t="inlineStr">
        <is>
          <t>공휴일은 전 시간 경부하 계량, 토요일 최대부하는 중간부하로 계량</t>
        </is>
      </c>
      <c r="C14" s="83" t="inlineStr">
        <is>
          <t>동일 (별표3 본문 단서 공통 적용)</t>
        </is>
      </c>
      <c r="D14" s="50" t="inlineStr">
        <is>
          <t>동일</t>
        </is>
      </c>
      <c r="E14" s="83" t="inlineStr">
        <is>
          <t>주말 스케줄러는 평일 시간대표를 그대로 쓰면 안 됨</t>
        </is>
      </c>
      <c r="F14" s="82" t="inlineStr">
        <is>
          <t>A1 별표3 단서1 / 확정</t>
        </is>
      </c>
    </row>
    <row r="15" ht="45.75" customHeight="1" s="42">
      <c r="A15" s="83" t="inlineStr">
        <is>
          <t>봄·가을 주말·공휴일 11~14시 50% 할인</t>
        </is>
      </c>
      <c r="B15" s="83" t="inlineStr">
        <is>
          <t>주말 할인요금(약관 제67조의7·세칙 제48조의7), 2026.4.16~2030.12.31, 3년마다 연장 검토. 대상은 산업용(을)·전기자동차 충전전력 고객만</t>
        </is>
      </c>
      <c r="C15" s="83" t="inlineStr">
        <is>
          <t>세칙 제48조의7에 지역 제한 없음 → 적용</t>
        </is>
      </c>
      <c r="D15" s="50" t="inlineStr">
        <is>
          <t>동일</t>
        </is>
      </c>
      <c r="E15" s="83" t="inlineStr">
        <is>
          <t>주택용(누진·계시별 모두)은 대상이 아님 → 주택 HEMS에서는 EV 별도계약 고객의 충전 스케줄에만 반영</t>
        </is>
      </c>
      <c r="F15" s="82" t="inlineStr">
        <is>
          <t>A2 제48조의7 / 확정</t>
        </is>
      </c>
    </row>
    <row r="16" ht="45.75" customHeight="1" s="42">
      <c r="A16" s="84" t="inlineStr">
        <is>
          <t>2026 계시별 개편 시간대의 제주 적용</t>
        </is>
      </c>
      <c r="B16" s="83" t="inlineStr">
        <is>
          <t>적용</t>
        </is>
      </c>
      <c r="C16" s="83" t="inlineStr">
        <is>
          <t>미적용 — 2026.8.1 약관에도 제주 단서(22~08/08~16/16~22) 그대로 유지</t>
        </is>
      </c>
      <c r="D16" s="52" t="inlineStr">
        <is>
          <t>다름</t>
        </is>
      </c>
      <c r="E16" s="83" t="inlineStr">
        <is>
          <t>제주는 개편 영향 없음이 약관으로 확정됨</t>
        </is>
      </c>
      <c r="F16" s="82" t="inlineStr">
        <is>
          <t>A1 별표3 단서4 / 확정</t>
        </is>
      </c>
    </row>
    <row r="17" ht="45.75" customHeight="1" s="42">
      <c r="A17" s="83" t="inlineStr">
        <is>
          <t>산업용 지역별 차등요금</t>
        </is>
      </c>
      <c r="B17" s="84" t="inlineStr">
        <is>
          <t>2026년 내 도입 예정, 11개 지역·최대 18원/kWh 인하</t>
        </is>
      </c>
      <c r="C17" s="83" t="inlineStr">
        <is>
          <t>적용 제외</t>
        </is>
      </c>
      <c r="D17" s="52" t="inlineStr">
        <is>
          <t>다름</t>
        </is>
      </c>
      <c r="E17" s="83" t="inlineStr">
        <is>
          <t>주택용은 대상 아님 → 주택 HEMS 직접 영향 없음</t>
        </is>
      </c>
      <c r="F17" s="82" t="inlineStr">
        <is>
          <t>S16·S17 / 확정(발표 기준)</t>
        </is>
      </c>
    </row>
    <row r="18" ht="45.75" customHeight="1" s="42">
      <c r="A18" s="84" t="inlineStr">
        <is>
          <t>DR·인센티브</t>
        </is>
      </c>
      <c r="B18" s="83" t="inlineStr">
        <is>
          <t>에너지캐시백(2026.7~ 확대), 국민DR(89,973고객), 플러스DR(2024.3 육지 신설, 43,061고객) → 상세 DR_수요반응 시트</t>
        </is>
      </c>
      <c r="C18" s="83" t="inlineStr">
        <is>
          <t>동일 (플러스DR은 2021.1 제주 신설, 2022.5 제주 수요자원시장 분리 운영)</t>
        </is>
      </c>
      <c r="D18" s="50" t="inlineStr">
        <is>
          <t>동일 (DR 시장만 육지권/제주권 분리)</t>
        </is>
      </c>
      <c r="E18" s="83" t="inlineStr">
        <is>
          <t>양 지역 모두 '더 쓰면 보상' 신호 반영 가능. 가구 실수령 단가는 집합사업자 계약·시장정산에 따르므로 공통값 없음</t>
        </is>
      </c>
      <c r="F18" s="82" t="inlineStr">
        <is>
          <t>S20·S25·S32 / 확정(시장 존재 기준), 정산조건은 사업자별</t>
        </is>
      </c>
    </row>
    <row r="19" ht="45.75" customHeight="1" s="42">
      <c r="A19" s="83" t="inlineStr">
        <is>
          <t>히트펌프 요금 선택지</t>
        </is>
      </c>
      <c r="B19" s="83" t="inlineStr">
        <is>
          <t>① 누진 ② 분리 일반용 ③ 계시별 (③은 인증 지열·공기열 설치 가구만, 2026.4.1~; ②와 ③ 동시 적용 불가)</t>
        </is>
      </c>
      <c r="C19" s="83" t="inlineStr">
        <is>
          <t>동일 3종 (③은 제주 주거용 전 가구, 2021.9.1~)</t>
        </is>
      </c>
      <c r="D19" s="50" t="inlineStr">
        <is>
          <t>자격만 다름</t>
        </is>
      </c>
      <c r="E19" s="83" t="inlineStr">
        <is>
          <t>제주 전용 히트펌프 요금제는 없음. 시간대만 지역별로 분기</t>
        </is>
      </c>
      <c r="F19" s="82" t="inlineStr">
        <is>
          <t>A2 제48조의5·S14·S15·S29 / 확정</t>
        </is>
      </c>
    </row>
    <row r="20" ht="45.75" customHeight="1" s="42">
      <c r="A20" s="83" t="inlineStr">
        <is>
          <t>히트펌프 설치 보조금</t>
        </is>
      </c>
      <c r="B20" s="83" t="inlineStr">
        <is>
          <t>산업부 난방 전기화 보급사업(전국)</t>
        </is>
      </c>
      <c r="C20" s="83" t="inlineStr">
        <is>
          <t>제주도 사업: 설치비 최대 980만원 지원, 태양광 보유 가구 우선</t>
        </is>
      </c>
      <c r="D20" s="52" t="inlineStr">
        <is>
          <t>제주 추가</t>
        </is>
      </c>
      <c r="E20" s="83" t="inlineStr">
        <is>
          <t>제주는 태양광+히트펌프 조합 가구 증가 예상 → 낮 자가소비·축열 스케줄 수요</t>
        </is>
      </c>
      <c r="F20" s="82" t="inlineStr">
        <is>
          <t>S30·S31 / 확정</t>
        </is>
      </c>
    </row>
    <row r="21" ht="45.75" customHeight="1" s="42">
      <c r="A21" s="84" t="inlineStr">
        <is>
          <t>ESS 요금 특례</t>
        </is>
      </c>
      <c r="B21" s="83" t="inlineStr">
        <is>
          <t>주택용 없음. 계시별 일반·산업·교육용 대상 기본요금 할인(2016.4.1~2026.3.31 종료)</t>
        </is>
      </c>
      <c r="C21" s="83" t="inlineStr">
        <is>
          <t>동일</t>
        </is>
      </c>
      <c r="D21" s="50" t="inlineStr">
        <is>
          <t>동일</t>
        </is>
      </c>
      <c r="E21" s="83" t="inlineStr">
        <is>
          <t>주택 ESS 가치는 요금특례가 아니라 누진회피·계시별 차익·캐시백에서 발생</t>
        </is>
      </c>
      <c r="F21" s="82" t="inlineStr">
        <is>
          <t>A2 별표4 제9호 / 확정(종료)</t>
        </is>
      </c>
    </row>
    <row r="23" ht="17.15" customHeight="1" s="42">
      <c r="A23" s="45" t="inlineStr">
        <is>
          <t>결론 2. HEMS 대상 고객유형별 적용 가능 요금제와 최적화 목표</t>
        </is>
      </c>
    </row>
    <row r="24" ht="30" customHeight="1" s="42">
      <c r="A24" s="47" t="inlineStr">
        <is>
          <t>고객 유형</t>
        </is>
      </c>
      <c r="B24" s="47" t="inlineStr">
        <is>
          <t>적용 가능 요금제</t>
        </is>
      </c>
      <c r="C24" s="47" t="inlineStr">
        <is>
          <t>요금 절감 레버</t>
        </is>
      </c>
      <c r="D24" s="48" t="inlineStr">
        <is>
          <t>HEMS 최적화 목표(권장)</t>
        </is>
      </c>
      <c r="E24" s="47" t="inlineStr">
        <is>
          <t>주의점</t>
        </is>
      </c>
      <c r="F24" s="47" t="inlineStr">
        <is>
          <t>근거</t>
        </is>
      </c>
    </row>
    <row r="25" ht="61.5" customHeight="1" s="42">
      <c r="A25" s="83" t="inlineStr">
        <is>
          <t>육지 일반 주택(저압)</t>
        </is>
      </c>
      <c r="B25" s="83" t="inlineStr">
        <is>
          <t>주택용 누진제만</t>
        </is>
      </c>
      <c r="C25" s="83" t="inlineStr">
        <is>
          <t>월 누적 사용량(누진구간). 시간대 이동은 요금 효과 없음</t>
        </is>
      </c>
      <c r="D25" s="83" t="inlineStr">
        <is>
          <t>월간 사용량 예측 → 200/400kWh(하계 300/450) 경계 초과 방지. 2026.7~8 저녁 17~20시 절감 캐시백(최대 500원/kWh) 대응</t>
        </is>
      </c>
      <c r="E25" s="84" t="inlineStr">
        <is>
          <t>2026 계시별 개편은 주택용 누진 고객에 적용 안 됨</t>
        </is>
      </c>
      <c r="F25" s="82" t="inlineStr">
        <is>
          <t>S05·S20·S27</t>
        </is>
      </c>
    </row>
    <row r="26" ht="61.5" customHeight="1" s="42">
      <c r="A26" s="83" t="inlineStr">
        <is>
          <t>육지 히트펌프 설치 가구</t>
        </is>
      </c>
      <c r="B26" s="83" t="inlineStr">
        <is>
          <t>① 누진제 ② 히트펌프 전력만 일반용 분리 ③ 주택용 계시별 (2026.4.1~ 선택)</t>
        </is>
      </c>
      <c r="C26" s="83" t="inlineStr">
        <is>
          <t>요금제 선택 자체 + 시간대 이동</t>
        </is>
      </c>
      <c r="D26" s="83" t="inlineStr">
        <is>
          <t>월 사용량 약 600kWh 이상이면 ② 분리요금이 유리하다는 분석 → 요금제 추천 로직 필요. ③ 선택 시 기본요금 월 12,930원(4,310원/kW×3kW) 고정비 반영</t>
        </is>
      </c>
      <c r="E26" s="83" t="inlineStr">
        <is>
          <t>신재생에너지법 제13조 인증 지열·공기열 설비 설치 주거용 고객. 공기열은 인증심사기준 마련 전까지 기후부 선정·공지 제품을 인증 간주(약관 부칙). 비주거용, 시간대 계량 불가, 누진 복귀 후 1년 미경과 가구는 제외. 계시별 변경 후 1년간 누진 복귀 불가</t>
        </is>
      </c>
      <c r="F26" s="82" t="inlineStr">
        <is>
          <t>A2 제48조의5·S14·S15</t>
        </is>
      </c>
    </row>
    <row r="27" ht="61.5" customHeight="1" s="42">
      <c r="A27" s="83" t="inlineStr">
        <is>
          <t>제주 주택</t>
        </is>
      </c>
      <c r="B27" s="83" t="inlineStr">
        <is>
          <t>① 누진제 ② 주택용 계시별 선택 (2021.9~)</t>
        </is>
      </c>
      <c r="C27" s="83" t="inlineStr">
        <is>
          <t>계시별 선택 시 16~22시 회피, 22~08·08~16시로 이동</t>
        </is>
      </c>
      <c r="D27" s="83" t="inlineStr">
        <is>
          <t>계시별 가입 가구: 최대부하(16~22) 회피 스케줄링. 미가입 가구: 누진 관리 + 계시별 전환 시뮬레이션 제공</t>
        </is>
      </c>
      <c r="E27" s="83" t="inlineStr">
        <is>
          <t>계시별 기본요금은 4,310원/kW × 요금적용전력 3kW/가구 = 월 12,930원(세칙 별표12)으로 누진 기본요금(910~7,300원)보다 월 5,630~12,020원 높음 → 저사용 가구는 불리. 저압 9월 야간집중(경70/중20/최10%) 기준 손익분기 약 385kWh/월. 6~8월·11~2월 1,000kWh 초과분은 736.2원/kWh 슈퍼유저 단가</t>
        </is>
      </c>
      <c r="F27" s="82" t="inlineStr">
        <is>
          <t>A2 별표12·제48조의5 / 확정</t>
        </is>
      </c>
    </row>
    <row r="28" ht="61.5" customHeight="1" s="42">
      <c r="A28" s="84" t="inlineStr">
        <is>
          <t>EV 자가충전(주택·아파트)</t>
        </is>
      </c>
      <c r="B28" s="83" t="inlineStr">
        <is>
          <t>전기자동차 충전전력요금(계시별, 별도 계약) 또는 주택용에 합산</t>
        </is>
      </c>
      <c r="C28" s="83" t="inlineStr">
        <is>
          <t>경부하(22~08) 충전, 봄·가을 주말·공휴일 11~14시 50% 할인</t>
        </is>
      </c>
      <c r="D28" s="83" t="inlineStr">
        <is>
          <t>충전 스케줄: 평일 경부하 우선, 봄·가을 주말 낮 할인창 활용</t>
        </is>
      </c>
      <c r="E28" s="84" t="inlineStr">
        <is>
          <t>2022.7 특례할인 폐지 후 기본요금 정상 부과</t>
        </is>
      </c>
      <c r="F28" s="82" t="inlineStr">
        <is>
          <t>A2 별표4 제4호·S03·S22</t>
        </is>
      </c>
    </row>
    <row r="29" ht="61.5" customHeight="1" s="42">
      <c r="A29" s="84" t="inlineStr">
        <is>
          <t>ESS 보유 가구</t>
        </is>
      </c>
      <c r="B29" s="83" t="inlineStr">
        <is>
          <t>주택용 ESS 전용 요금할인 없음</t>
        </is>
      </c>
      <c r="C29" s="83" t="inlineStr">
        <is>
          <t>태양광 잉여 저장·자가소비(순 수전량 감소), (계시별 가입 시) 경부하 충전→최대부하 방전 차익, 캐시백·DR</t>
        </is>
      </c>
      <c r="D29" s="83" t="inlineStr">
        <is>
          <t>누진 고객: 계통 충전→방전은 같은 검침월의 누적 kWh를 줄이지 못하고 손실만 늘리므로 태양광 연계 시에만 누진구간 관리 효과 / 계시별 고객: 시간대 차익 운전</t>
        </is>
      </c>
      <c r="E29" s="83" t="inlineStr">
        <is>
          <t>피크저감 ESS 특례는 일반·산업·교육용 계시별 고객 대상이며 2026.3.31 종료됨(2026.8.1판 세칙에도 연장 없음). 할인 수익을 사업성에 넣지 말 것</t>
        </is>
      </c>
      <c r="F29" s="82" t="inlineStr">
        <is>
          <t>A2 별표4 제9호·S18·S19·S26</t>
        </is>
      </c>
    </row>
    <row r="31" ht="17.15" customHeight="1" s="42">
      <c r="A31" s="45" t="inlineStr">
        <is>
          <t>결론 3. 2026년 요금 변동 요약 (무엇이 바뀌었고 무엇이 그대로인가)</t>
        </is>
      </c>
    </row>
    <row r="32" ht="30" customHeight="1" s="42">
      <c r="A32" s="47" t="inlineStr">
        <is>
          <t>항목</t>
        </is>
      </c>
      <c r="B32" s="48" t="inlineStr">
        <is>
          <t>2026년 상태</t>
        </is>
      </c>
      <c r="C32" s="47" t="inlineStr">
        <is>
          <t>시행일</t>
        </is>
      </c>
      <c r="D32" s="47" t="inlineStr">
        <is>
          <t>적용 대상</t>
        </is>
      </c>
      <c r="E32" s="47" t="inlineStr">
        <is>
          <t>비고</t>
        </is>
      </c>
      <c r="F32" s="47" t="inlineStr">
        <is>
          <t>근거</t>
        </is>
      </c>
    </row>
    <row r="33" ht="39.75" customHeight="1" s="42">
      <c r="A33" s="83" t="inlineStr">
        <is>
          <t>주택용 누진 단가</t>
        </is>
      </c>
      <c r="B33" s="83" t="inlineStr">
        <is>
          <t>동결 (2023.5 이후 13분기 연속)</t>
        </is>
      </c>
      <c r="C33" s="82" t="inlineStr">
        <is>
          <t>-</t>
        </is>
      </c>
      <c r="D33" s="83" t="inlineStr">
        <is>
          <t>주택용</t>
        </is>
      </c>
      <c r="E33" s="83" t="n"/>
      <c r="F33" s="82" t="inlineStr">
        <is>
          <t>S08</t>
        </is>
      </c>
    </row>
    <row r="34" ht="39.75" customHeight="1" s="42">
      <c r="A34" s="83" t="inlineStr">
        <is>
          <t>연료비조정단가</t>
        </is>
      </c>
      <c r="B34" s="84" t="inlineStr">
        <is>
          <t>+5.0원/kWh 유지</t>
        </is>
      </c>
      <c r="C34" s="82" t="inlineStr">
        <is>
          <t>2026 3분기</t>
        </is>
      </c>
      <c r="D34" s="83" t="inlineStr">
        <is>
          <t>전 종별</t>
        </is>
      </c>
      <c r="E34" s="83" t="inlineStr">
        <is>
          <t>상한 적용 지속</t>
        </is>
      </c>
      <c r="F34" s="82" t="inlineStr">
        <is>
          <t>S07</t>
        </is>
      </c>
    </row>
    <row r="35" ht="39.75" customHeight="1" s="42">
      <c r="A35" s="83" t="inlineStr">
        <is>
          <t>산업용 기본 단가</t>
        </is>
      </c>
      <c r="B35" s="84" t="inlineStr">
        <is>
          <t>2024.10.24 인상분 유지 (을 +16.9, 갑 +8.5원/kWh)</t>
        </is>
      </c>
      <c r="C35" s="82" t="inlineStr">
        <is>
          <t>2024.10.24</t>
        </is>
      </c>
      <c r="D35" s="83" t="inlineStr">
        <is>
          <t>산업용</t>
        </is>
      </c>
      <c r="E35" s="84" t="inlineStr">
        <is>
          <t>2025.04 요금표에 반영됨</t>
        </is>
      </c>
      <c r="F35" s="82" t="inlineStr">
        <is>
          <t>S05</t>
        </is>
      </c>
    </row>
    <row r="36" ht="39.75" customHeight="1" s="42">
      <c r="A36" s="83" t="inlineStr">
        <is>
          <t>계시별 시간대 개편</t>
        </is>
      </c>
      <c r="B36" s="83" t="inlineStr">
        <is>
          <t>평일 11~15시 최대→중간, 18~21시 중간→최대</t>
        </is>
      </c>
      <c r="C36" s="82" t="inlineStr">
        <is>
          <t>2026.4.16 / 6.1</t>
        </is>
      </c>
      <c r="D36" s="83" t="inlineStr">
        <is>
          <t>산업용(을)·EV / 산업용(갑)Ⅱ·일반용(갑)Ⅱ·(을)·교육용(을)</t>
        </is>
      </c>
      <c r="E36" s="83" t="inlineStr">
        <is>
          <t>산업용(을) 유예 514곳은 10.1 적용</t>
        </is>
      </c>
      <c r="F36" s="82" t="inlineStr">
        <is>
          <t>S01·S02·S04</t>
        </is>
      </c>
    </row>
    <row r="37" ht="39.75" customHeight="1" s="42">
      <c r="A37" s="83" t="inlineStr">
        <is>
          <t>계시별 단가 조정</t>
        </is>
      </c>
      <c r="B37" s="83" t="inlineStr">
        <is>
          <t>경부하 +5.1원, 최대부하 -16.9원(여름·겨울) / -13.2원(봄·가을). 별표1에 반영 완료</t>
        </is>
      </c>
      <c r="C37" s="82" t="inlineStr">
        <is>
          <t>2026.4.16</t>
        </is>
      </c>
      <c r="D37" s="83" t="inlineStr">
        <is>
          <t>산업용(을)만</t>
        </is>
      </c>
      <c r="E37" s="83" t="inlineStr">
        <is>
          <t>유예 고객은 역산식으로 개편 전 수준 적용(부칙 제4호). 일반용·산업용(갑)Ⅱ·교육용은 단가 변동 없이 시간대만 개편</t>
        </is>
      </c>
      <c r="F37" s="82" t="inlineStr">
        <is>
          <t>A1 별표1·부칙</t>
        </is>
      </c>
    </row>
    <row r="38" ht="39.75" customHeight="1" s="42">
      <c r="A38" s="83" t="inlineStr">
        <is>
          <t>일반용(갑)Ⅱ 선택Ⅲ·Ⅳ 신설</t>
        </is>
      </c>
      <c r="B38" s="83" t="inlineStr">
        <is>
          <t>계시별 대신 계절별 단일요금 선택 가능(갑Ⅰ과 동일 단가)</t>
        </is>
      </c>
      <c r="C38" s="82" t="inlineStr">
        <is>
          <t>2026.6.1</t>
        </is>
      </c>
      <c r="D38" s="83" t="inlineStr">
        <is>
          <t>일반용(갑)Ⅱ</t>
        </is>
      </c>
      <c r="E38" s="84" t="inlineStr">
        <is>
          <t>6~11월분은 기존 선택과 자동 비교해 유리한 쪽 적용, 신청분은 12월분부터</t>
        </is>
      </c>
      <c r="F38" s="82" t="inlineStr">
        <is>
          <t>A1 별표1·부칙 2026.5.22</t>
        </is>
      </c>
    </row>
    <row r="39" ht="39.75" customHeight="1" s="42">
      <c r="A39" s="83" t="inlineStr">
        <is>
          <t>봄·가을 주말·공휴일 할인</t>
        </is>
      </c>
      <c r="B39" s="84" t="inlineStr">
        <is>
          <t>11~14시 전력량요금 50%</t>
        </is>
      </c>
      <c r="C39" s="82" t="inlineStr">
        <is>
          <t>2026.4.16 (EV 4.18)</t>
        </is>
      </c>
      <c r="D39" s="83" t="inlineStr">
        <is>
          <t>산업용(을)·전기자동차 충전전력만 (세칙 제48조의7 ①). 일반용·교육용·산업용(갑)Ⅱ·주택용 계시별은 대상 아님</t>
        </is>
      </c>
      <c r="E39" s="84" t="inlineStr">
        <is>
          <t>2030.12.31까지</t>
        </is>
      </c>
      <c r="F39" s="82" t="inlineStr">
        <is>
          <t>A2 제48조의7·S03</t>
        </is>
      </c>
    </row>
    <row r="40" ht="39.75" customHeight="1" s="42">
      <c r="A40" s="83" t="inlineStr">
        <is>
          <t>주택용 히트펌프 요금 선택</t>
        </is>
      </c>
      <c r="B40" s="84" t="inlineStr">
        <is>
          <t>3개 요금제 중 선택</t>
        </is>
      </c>
      <c r="C40" s="82" t="inlineStr">
        <is>
          <t>2026.4.1</t>
        </is>
      </c>
      <c r="D40" s="83" t="inlineStr">
        <is>
          <t>육지 인증 지열·공기열 설비 설치 가구</t>
        </is>
      </c>
      <c r="E40" s="83" t="n"/>
      <c r="F40" s="82" t="inlineStr">
        <is>
          <t>A2 제48조의5·S15</t>
        </is>
      </c>
    </row>
    <row r="41" ht="39.75" customHeight="1" s="42">
      <c r="A41" s="83" t="inlineStr">
        <is>
          <t>에너지캐시백 확대</t>
        </is>
      </c>
      <c r="B41" s="84" t="inlineStr">
        <is>
          <t>1% 절감부터 최대 120원/kWh, 여름 저녁 피크 최대 500원/kWh, 스마트가전 100원/kWh</t>
        </is>
      </c>
      <c r="C41" s="82" t="inlineStr">
        <is>
          <t>2026.7~12</t>
        </is>
      </c>
      <c r="D41" s="83" t="inlineStr">
        <is>
          <t>주택용</t>
        </is>
      </c>
      <c r="E41" s="83" t="n"/>
      <c r="F41" s="82" t="inlineStr">
        <is>
          <t>S20</t>
        </is>
      </c>
    </row>
    <row r="42" ht="39.75" customHeight="1" s="42">
      <c r="A42" s="83" t="inlineStr">
        <is>
          <t>산업용 지역별 차등요금</t>
        </is>
      </c>
      <c r="B42" s="84" t="inlineStr">
        <is>
          <t>11개 지역, 최대 18원/kWh 인하</t>
        </is>
      </c>
      <c r="C42" s="82" t="inlineStr">
        <is>
          <t>2026년 내 예정</t>
        </is>
      </c>
      <c r="D42" s="83" t="inlineStr">
        <is>
          <t>산업용(제주 제외)</t>
        </is>
      </c>
      <c r="E42" s="83" t="inlineStr">
        <is>
          <t>주택용 제외</t>
        </is>
      </c>
      <c r="F42" s="82" t="inlineStr">
        <is>
          <t>S16</t>
        </is>
      </c>
    </row>
    <row r="43" ht="39.75" customHeight="1" s="42">
      <c r="A43" s="83" t="inlineStr">
        <is>
          <t>전력산업기반기금</t>
        </is>
      </c>
      <c r="B43" s="84" t="inlineStr">
        <is>
          <t>2.7%</t>
        </is>
      </c>
      <c r="C43" s="82" t="inlineStr">
        <is>
          <t>2025.7~</t>
        </is>
      </c>
      <c r="D43" s="83" t="inlineStr">
        <is>
          <t>전 종별</t>
        </is>
      </c>
      <c r="E43" s="83" t="n"/>
      <c r="F43" s="82" t="inlineStr">
        <is>
          <t>S09</t>
        </is>
      </c>
    </row>
    <row r="45" ht="55.5" customHeight="1" s="42">
      <c r="A45" s="55" t="inlineStr">
        <is>
          <t>※ 2026-09-15 개정: 한전 기본공급약관(2026.8.1, 프로젝트 문서 A1) 원문을 1순위 근거로 재검증했다. 이전 버전에서 추정·확인필요로 두었던 항목 중 ① 개편 후 겨울 시간대(기존 유지) ② 제주 시간대 유지 ③ 토요일·공휴일 계량 특례 ④ 산업용(을) 개편 후 단가 ⑤ 기후환경요금 9.0원 은 모두 약관 원문으로 확정 처리했다. 남은 확인필요는 주택용 계시별 선택요금의 기본요금 단위(원/호 vs 원/kW), EV 충전전력 단가, 심야전력 단가, ESS 특례 존속 여부 — 모두 시행세칙 소관이며 이 PDF에는 세칙 본문이 없다.</t>
        </is>
      </c>
    </row>
    <row r="46" ht="93" customHeight="1" s="42">
      <c r="A46" s="55" t="inlineStr">
        <is>
          <t>※ 2026-09-15 _5 개정: 한전 기본공급약관 시행세칙(2026.8.1판, 232쪽, 출처 A2)과 전력거래소 2026 사업실명제 내역서(S32) 원문으로 재검증. ① 주택용 계시별 기본요금 = 4,310원/kW × 요금적용전력 3kW = 월 12,930원 확정(별표12, 이전 '원/호' 가설 폐기) ② 계시별 봄·가을 단가 125.8/153.8/172.4 및 슈퍼유저(6~8월·11~2월 1,000kWh 초과 736.2원/kWh) 확정 ③ 육지 계시별 가구의 시간대는 약관 별표3 제1호 준용(제48조의5 ⑤) → 2026 개편 시간대 적용 ④ 주말 할인요금 대상은 산업용(을)·EV 충전전력만(제48조의7 ①) ⑤ 플러스DR은 2024.3 육지에도 신설(제주 전용 아님) ⑥ ESS 요금특례 2026.3.31 종료 확정(별표4 제9호) ⑦ EV 충전전력 단가는 세칙 별표4 제4호 원문과 일치 → 확정 ⑧ 계시별 가입자격 = 인증 지열·공기열 설비 설치 주거용(제48조의5) ⑨ 계통 충전 ESS로는 누진 회피 불가 ⑩ 심야전력은 선택공급약관 소관(세칙에도 단가표 없음). 남은 확인필요: 심야전력 현행 단가·가입조건, 산업용 지역차등 확정본, 2026 4분기 연료비조정단가.</t>
        </is>
      </c>
    </row>
    <row r="47" ht="48" customHeight="1" s="42">
      <c r="A47" s="55" t="inlineStr">
        <is>
          <t>※ 2026-09-15 _6 개정 (검증본 재검토판과 대조): ⑪ 일반용 보완전력 6행은 현행 약관·세칙에 항목이 없어(선택공급약관 소관) 확정→확인필요로 하향 ⑫ 여름 저녁 피크 캐시백에 월 지급한도 10,000원 추가(세칙 제48조의6) ⑬ 공기열 인증 경과조치(인증심사기준 마련 전 기후부 선정·공지 제품 인증 간주, 약관 부칙 2026.3.16) 반영 ⑭ 2021~2026.3 ESS 구 할인 유지 예외(손실보전위원회 의결 대상) 주석.</t>
        </is>
      </c>
    </row>
    <row r="48" ht="36" customHeight="1" s="42">
      <c r="A48" s="55" t="inlineStr">
        <is>
          <t>※ 2026-09-15 _7 개정: '시간대_육지vs제주' 시트의 행 이름을 '육지/제주 계시별 적용 종별'로 바꾸고 적용 기간·대상 칸에 적용 종별과 제외 종별(주택용 누진제·일반용(갑)Ⅰ·(갑)Ⅱ 선택Ⅲ·Ⅳ·산업용(갑)Ⅰ·교육용(갑)·농사용·가로등)을 명시. 표 위에 경고문 추가. 지역만 보고 시간대 요금을 적용하는 오류 방지 목적.</t>
        </is>
      </c>
    </row>
    <row r="49" ht="36" customHeight="1" s="42">
      <c r="A49" s="55" t="inlineStr">
        <is>
          <t>※ 2026-09-15 _8 개정: '계약종별_쉬운설명' 시트 신설(기호 풀이, HEMS 대상 종별 비교표, 선택Ⅰ/Ⅱ 손익분기, 범위 밖 종별). HEMS 범위 밖인 산업용·교육용·농사용_가로등_심야 시트는 삭제하지 않고 숨김 처리.</t>
        </is>
      </c>
    </row>
    <row r="50" ht="36" customHeight="1" s="42">
      <c r="A50" s="55" t="inlineStr">
        <is>
          <t>※ 2026-09-15 _9 개정: 'DR_수요반응' 시트 신설 — 전력시장운영규칙 제12장(2026.7.24)·KPX 2025.12 수요자원시장 현황(2026.3)·한전 선택공급약관 제3장으로 국민DR·플러스DR·사업장 DR·긴급절전을 정리. 가정 HEMS 대상은 국민DR(감축, 06~21시 1시간)과 플러스DR(증대, 09~18시)이며 둘 다 수요관리사업자 경유. 출처 S33~S38 추가.</t>
        </is>
      </c>
    </row>
    <row r="51" ht="30" customHeight="1" s="42">
      <c r="A51" s="55" t="inlineStr">
        <is>
          <t>※ 2026-09-15 _10 개정: '계약종별_쉬운설명' 시트에 E절(히트펌프 설치 가구 3가지 선택지 — 계량기·누진 회피 방법·②③ 동시 불가·육지/제주 문턱·계절별 요금 구조) 추가. 주택용 시트 C절에 참조 표시.</t>
        </is>
      </c>
    </row>
    <row r="52" ht="30" customHeight="1" s="42">
      <c r="A52" s="55" t="inlineStr">
        <is>
          <t>※ 2026-09-15 _11 개정: 계약종별_쉬운설명 E절 — 요금 구조에 계절 월 범위 명기(여름 6~8 / 봄·가을 3~5·9~10 / 겨울 11~2), 자격 열(H) 추가, 육지 ③ 자격을 '히트펌프 설치 가구'가 아닌 ⓐ지열·공기열 ⓑ신재생법 인증(공기열은 기후부 선정·공지 간주) ⓒ주거용·분리계약 없음 3조건으로 명시. 현황판 v7과 문구 통일.</t>
        </is>
      </c>
    </row>
  </sheetData>
  <mergeCells count="9">
    <mergeCell ref="A49:F49"/>
    <mergeCell ref="A52:F52"/>
    <mergeCell ref="A47:F47"/>
    <mergeCell ref="A51:F51"/>
    <mergeCell ref="A46:F46"/>
    <mergeCell ref="A45:F45"/>
    <mergeCell ref="A5:F5"/>
    <mergeCell ref="A50:F50"/>
    <mergeCell ref="A48:F48"/>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I21"/>
  <sheetViews>
    <sheetView showGridLines="0" workbookViewId="0">
      <pane ySplit="4" topLeftCell="A5" activePane="bottomLeft" state="frozen"/>
      <selection pane="bottomLeft" activeCell="A1" sqref="A1"/>
    </sheetView>
  </sheetViews>
  <sheetFormatPr baseColWidth="8" defaultRowHeight="15"/>
  <cols>
    <col width="8" customWidth="1" style="42" min="1" max="1"/>
    <col width="12" customWidth="1" style="42" min="2" max="2"/>
    <col width="28" customWidth="1" style="42" min="3" max="3"/>
    <col width="30" customWidth="1" style="42" min="4" max="4"/>
    <col width="30" customWidth="1" style="42" min="5" max="5"/>
    <col width="44" customWidth="1" style="42" min="6" max="6"/>
    <col width="14" customWidth="1" style="42" min="7" max="7"/>
    <col width="10" customWidth="1" style="42" min="8" max="8"/>
    <col width="12" customWidth="1" style="42" min="9" max="9"/>
  </cols>
  <sheetData>
    <row r="1">
      <c r="A1" s="90" t="inlineStr">
        <is>
          <t>변경이력</t>
        </is>
      </c>
      <c r="B1" s="91" t="inlineStr">
        <is>
          <t>현재 버전</t>
        </is>
      </c>
      <c r="C1" s="101" t="inlineStr">
        <is>
          <t>v12</t>
        </is>
      </c>
      <c r="D1" s="91" t="inlineStr">
        <is>
          <t>기준일</t>
        </is>
      </c>
      <c r="E1" s="101" t="inlineStr">
        <is>
          <t>2026-09-15</t>
        </is>
      </c>
    </row>
    <row r="2" ht="34" customHeight="1" s="42">
      <c r="A2" s="97" t="inlineStr">
        <is>
          <t>파일명은 고정(한전_전기요금_2026_HEMS정리.xlsx). 버전은 이 시트 C1이 기준이며 현황판 상단 표기도 여기서 읽는다. 과거본은 archive/날짜_vN.xlsx로 보관. 규칙: 셀 값을 바꾸면 반드시 이 표에 한 줄 추가(변경 전·후 값 포함), 시트 구조 변경(행 삽입·시트 삭제) 금지.</t>
        </is>
      </c>
    </row>
    <row r="4" ht="26" customHeight="1" s="42">
      <c r="A4" s="94" t="inlineStr">
        <is>
          <t>버전</t>
        </is>
      </c>
      <c r="B4" s="94" t="inlineStr">
        <is>
          <t>일자</t>
        </is>
      </c>
      <c r="C4" s="94" t="inlineStr">
        <is>
          <t>시트!셀</t>
        </is>
      </c>
      <c r="D4" s="94" t="inlineStr">
        <is>
          <t>변경 전</t>
        </is>
      </c>
      <c r="E4" s="94" t="inlineStr">
        <is>
          <t>변경 후</t>
        </is>
      </c>
      <c r="F4" s="94" t="inlineStr">
        <is>
          <t>사유·근거</t>
        </is>
      </c>
      <c r="G4" s="94" t="inlineStr">
        <is>
          <t>출처ID</t>
        </is>
      </c>
      <c r="H4" s="94" t="inlineStr">
        <is>
          <t>변경자</t>
        </is>
      </c>
      <c r="I4" s="94" t="inlineStr">
        <is>
          <t>승인</t>
        </is>
      </c>
    </row>
    <row r="5" ht="40" customHeight="1" s="42">
      <c r="A5" s="95" t="inlineStr">
        <is>
          <t>v12</t>
        </is>
      </c>
      <c r="B5" s="96" t="inlineStr">
        <is>
          <t>2026-09-15</t>
        </is>
      </c>
      <c r="C5" s="96" t="inlineStr">
        <is>
          <t>(기준선)</t>
        </is>
      </c>
      <c r="D5" s="96" t="inlineStr">
        <is>
          <t>—</t>
        </is>
      </c>
      <c r="E5" s="96" t="inlineStr">
        <is>
          <t>파일명 고정(한전_전기요금_2026_HEMS정리.xlsx) · 변경이력 관리 시작</t>
        </is>
      </c>
      <c r="F5" s="96" t="inlineStr">
        <is>
          <t>v12 이전 개정 내용은 의사결정요약 A45~A52 참조. 이후 모든 셀 변경은 이 표에 기록</t>
        </is>
      </c>
      <c r="G5" s="96" t="inlineStr">
        <is>
          <t>—</t>
        </is>
      </c>
      <c r="H5" s="96" t="inlineStr">
        <is>
          <t>Claude</t>
        </is>
      </c>
      <c r="I5" s="96" t="inlineStr">
        <is>
          <t>사용자</t>
        </is>
      </c>
    </row>
    <row r="6" ht="40" customHeight="1" s="42">
      <c r="A6" s="102" t="n"/>
      <c r="B6" s="103" t="n"/>
      <c r="C6" s="103" t="n"/>
      <c r="D6" s="103" t="n"/>
      <c r="E6" s="103" t="n"/>
      <c r="F6" s="103" t="n"/>
      <c r="G6" s="103" t="n"/>
      <c r="H6" s="103" t="n"/>
      <c r="I6" s="103" t="n"/>
    </row>
    <row r="7" ht="40" customHeight="1" s="42">
      <c r="A7" s="102" t="n"/>
      <c r="B7" s="103" t="n"/>
      <c r="C7" s="103" t="n"/>
      <c r="D7" s="103" t="n"/>
      <c r="E7" s="103" t="n"/>
      <c r="F7" s="103" t="n"/>
      <c r="G7" s="103" t="n"/>
      <c r="H7" s="103" t="n"/>
      <c r="I7" s="103" t="n"/>
    </row>
    <row r="8" ht="40" customHeight="1" s="42">
      <c r="A8" s="102" t="n"/>
      <c r="B8" s="103" t="n"/>
      <c r="C8" s="103" t="n"/>
      <c r="D8" s="103" t="n"/>
      <c r="E8" s="103" t="n"/>
      <c r="F8" s="103" t="n"/>
      <c r="G8" s="103" t="n"/>
      <c r="H8" s="103" t="n"/>
      <c r="I8" s="103" t="n"/>
    </row>
    <row r="9" ht="40" customHeight="1" s="42">
      <c r="A9" s="102" t="n"/>
      <c r="B9" s="103" t="n"/>
      <c r="C9" s="103" t="n"/>
      <c r="D9" s="103" t="n"/>
      <c r="E9" s="103" t="n"/>
      <c r="F9" s="103" t="n"/>
      <c r="G9" s="103" t="n"/>
      <c r="H9" s="103" t="n"/>
      <c r="I9" s="103" t="n"/>
    </row>
    <row r="10" ht="40" customHeight="1" s="42">
      <c r="A10" s="102" t="n"/>
      <c r="B10" s="103" t="n"/>
      <c r="C10" s="103" t="n"/>
      <c r="D10" s="103" t="n"/>
      <c r="E10" s="103" t="n"/>
      <c r="F10" s="103" t="n"/>
      <c r="G10" s="103" t="n"/>
      <c r="H10" s="103" t="n"/>
      <c r="I10" s="103" t="n"/>
    </row>
    <row r="11" ht="40" customHeight="1" s="42">
      <c r="A11" s="102" t="n"/>
      <c r="B11" s="103" t="n"/>
      <c r="C11" s="103" t="n"/>
      <c r="D11" s="103" t="n"/>
      <c r="E11" s="103" t="n"/>
      <c r="F11" s="103" t="n"/>
      <c r="G11" s="103" t="n"/>
      <c r="H11" s="103" t="n"/>
      <c r="I11" s="103" t="n"/>
    </row>
    <row r="12" ht="40" customHeight="1" s="42">
      <c r="A12" s="102" t="n"/>
      <c r="B12" s="103" t="n"/>
      <c r="C12" s="103" t="n"/>
      <c r="D12" s="103" t="n"/>
      <c r="E12" s="103" t="n"/>
      <c r="F12" s="103" t="n"/>
      <c r="G12" s="103" t="n"/>
      <c r="H12" s="103" t="n"/>
      <c r="I12" s="103" t="n"/>
    </row>
    <row r="13" ht="40" customHeight="1" s="42">
      <c r="A13" s="102" t="n"/>
      <c r="B13" s="103" t="n"/>
      <c r="C13" s="103" t="n"/>
      <c r="D13" s="103" t="n"/>
      <c r="E13" s="103" t="n"/>
      <c r="F13" s="103" t="n"/>
      <c r="G13" s="103" t="n"/>
      <c r="H13" s="103" t="n"/>
      <c r="I13" s="103" t="n"/>
    </row>
    <row r="14" ht="40" customHeight="1" s="42">
      <c r="A14" s="102" t="n"/>
      <c r="B14" s="103" t="n"/>
      <c r="C14" s="103" t="n"/>
      <c r="D14" s="103" t="n"/>
      <c r="E14" s="103" t="n"/>
      <c r="F14" s="103" t="n"/>
      <c r="G14" s="103" t="n"/>
      <c r="H14" s="103" t="n"/>
      <c r="I14" s="103" t="n"/>
    </row>
    <row r="15" ht="40" customHeight="1" s="42">
      <c r="A15" s="102" t="n"/>
      <c r="B15" s="103" t="n"/>
      <c r="C15" s="103" t="n"/>
      <c r="D15" s="103" t="n"/>
      <c r="E15" s="103" t="n"/>
      <c r="F15" s="103" t="n"/>
      <c r="G15" s="103" t="n"/>
      <c r="H15" s="103" t="n"/>
      <c r="I15" s="103" t="n"/>
    </row>
    <row r="16" ht="40" customHeight="1" s="42">
      <c r="A16" s="102" t="n"/>
      <c r="B16" s="103" t="n"/>
      <c r="C16" s="103" t="n"/>
      <c r="D16" s="103" t="n"/>
      <c r="E16" s="103" t="n"/>
      <c r="F16" s="103" t="n"/>
      <c r="G16" s="103" t="n"/>
      <c r="H16" s="103" t="n"/>
      <c r="I16" s="103" t="n"/>
    </row>
    <row r="17" ht="40" customHeight="1" s="42">
      <c r="A17" s="102" t="n"/>
      <c r="B17" s="103" t="n"/>
      <c r="C17" s="103" t="n"/>
      <c r="D17" s="103" t="n"/>
      <c r="E17" s="103" t="n"/>
      <c r="F17" s="103" t="n"/>
      <c r="G17" s="103" t="n"/>
      <c r="H17" s="103" t="n"/>
      <c r="I17" s="103" t="n"/>
    </row>
    <row r="18" ht="40" customHeight="1" s="42">
      <c r="A18" s="102" t="n"/>
      <c r="B18" s="103" t="n"/>
      <c r="C18" s="103" t="n"/>
      <c r="D18" s="103" t="n"/>
      <c r="E18" s="103" t="n"/>
      <c r="F18" s="103" t="n"/>
      <c r="G18" s="103" t="n"/>
      <c r="H18" s="103" t="n"/>
      <c r="I18" s="103" t="n"/>
    </row>
    <row r="19" ht="40" customHeight="1" s="42">
      <c r="A19" s="102" t="n"/>
      <c r="B19" s="103" t="n"/>
      <c r="C19" s="103" t="n"/>
      <c r="D19" s="103" t="n"/>
      <c r="E19" s="103" t="n"/>
      <c r="F19" s="103" t="n"/>
      <c r="G19" s="103" t="n"/>
      <c r="H19" s="103" t="n"/>
      <c r="I19" s="103" t="n"/>
    </row>
    <row r="20" ht="40" customHeight="1" s="42">
      <c r="A20" s="102" t="n"/>
      <c r="B20" s="103" t="n"/>
      <c r="C20" s="103" t="n"/>
      <c r="D20" s="103" t="n"/>
      <c r="E20" s="103" t="n"/>
      <c r="F20" s="103" t="n"/>
      <c r="G20" s="103" t="n"/>
      <c r="H20" s="103" t="n"/>
      <c r="I20" s="103" t="n"/>
    </row>
    <row r="21" ht="40" customHeight="1" s="42">
      <c r="A21" s="102" t="n"/>
      <c r="B21" s="103" t="n"/>
      <c r="C21" s="103" t="n"/>
      <c r="D21" s="103" t="n"/>
      <c r="E21" s="103" t="n"/>
      <c r="F21" s="103" t="n"/>
      <c r="G21" s="103" t="n"/>
      <c r="H21" s="103" t="n"/>
      <c r="I21" s="103" t="n"/>
    </row>
  </sheetData>
  <mergeCells count="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3"/>
  <sheetViews>
    <sheetView showGridLines="0" workbookViewId="0">
      <pane ySplit="3" topLeftCell="A4" activePane="bottomLeft" state="frozen"/>
      <selection pane="bottomLeft" activeCell="A1" sqref="A1"/>
    </sheetView>
  </sheetViews>
  <sheetFormatPr baseColWidth="8" defaultRowHeight="15"/>
  <cols>
    <col width="22" customWidth="1" style="42" min="1" max="1"/>
    <col width="26" customWidth="1" style="42" min="2" max="2"/>
    <col width="26" customWidth="1" style="42" min="3" max="3"/>
    <col width="24" customWidth="1" style="42" min="4" max="4"/>
    <col width="26" customWidth="1" style="42" min="5" max="5"/>
    <col width="26" customWidth="1" style="42" min="6" max="6"/>
    <col width="26" customWidth="1" style="42" min="7" max="7"/>
    <col width="26" customWidth="1" style="42" min="8" max="8"/>
  </cols>
  <sheetData>
    <row r="1" ht="22" customHeight="1" s="42">
      <c r="A1" s="90" t="inlineStr">
        <is>
          <t>계약종별 쉬운 설명 — HEMS 관점에서 알아야 할 요금제만</t>
        </is>
      </c>
    </row>
    <row r="2">
      <c r="A2" s="91" t="inlineStr">
        <is>
          <t>갑·을, Ⅰ·Ⅱ, 선택Ⅰ~Ⅳ, 고압A/B 같은 기호를 먼저 풀고, HEMS가 실제로 다루는 종별(주택용·일반용·EV)을 한 표로 비교합니다. 산업용·교육용·농사용·가로등·심야는 HEMS 범위 밖이라 시트를 숨김 처리했습니다(삭제 아님, 시트 탭 우클릭 → 숨기기 취소).</t>
        </is>
      </c>
    </row>
    <row r="4" ht="20" customHeight="1" s="42">
      <c r="A4" s="92" t="inlineStr">
        <is>
          <t>A. 기호 풀이 — 종별 이름을 읽는 법</t>
        </is>
      </c>
      <c r="B4" s="70" t="n"/>
      <c r="C4" s="70" t="n"/>
      <c r="D4" s="70" t="n"/>
      <c r="E4" s="70" t="n"/>
      <c r="F4" s="70" t="n"/>
      <c r="G4" s="70" t="n"/>
      <c r="H4" s="71" t="n"/>
    </row>
    <row r="5" ht="30" customHeight="1" s="42">
      <c r="A5" s="94" t="inlineStr">
        <is>
          <t>기호</t>
        </is>
      </c>
      <c r="B5" s="94" t="inlineStr">
        <is>
          <t>뜻</t>
        </is>
      </c>
      <c r="C5" s="94" t="inlineStr">
        <is>
          <t>쉽게 말하면</t>
        </is>
      </c>
      <c r="D5" s="94" t="inlineStr">
        <is>
          <t>어디서 정하나</t>
        </is>
      </c>
      <c r="E5" s="94" t="inlineStr">
        <is>
          <t>비고</t>
        </is>
      </c>
      <c r="F5" s="94" t="inlineStr"/>
      <c r="G5" s="94" t="inlineStr"/>
      <c r="H5" s="94" t="inlineStr"/>
    </row>
    <row r="6" ht="40" customHeight="1" s="42">
      <c r="A6" s="95" t="inlineStr">
        <is>
          <t>갑 / 을</t>
        </is>
      </c>
      <c r="B6" s="96" t="inlineStr">
        <is>
          <t>계약전력(계약한 최대 사용 규모, kW)으로 나눈 등급</t>
        </is>
      </c>
      <c r="C6" s="96" t="inlineStr">
        <is>
          <t>갑 = 작은 곳(300kW 미만), 을 = 큰 곳(300kW 이상). 교육용만 기준이 1,000kW</t>
        </is>
      </c>
      <c r="D6" s="96" t="inlineStr">
        <is>
          <t>약관 제57~59조</t>
        </is>
      </c>
      <c r="E6" s="96" t="inlineStr">
        <is>
          <t>주택은 갑·을 구분 없음</t>
        </is>
      </c>
    </row>
    <row r="7" ht="48" customHeight="1" s="42">
      <c r="A7" s="95" t="inlineStr">
        <is>
          <t>갑Ⅰ / 갑Ⅱ</t>
        </is>
      </c>
      <c r="B7" s="96" t="inlineStr">
        <is>
          <t>갑 안에서 요금 계산 방식으로 나눈 것</t>
        </is>
      </c>
      <c r="C7" s="96" t="inlineStr">
        <is>
          <t>갑Ⅰ = 계절만 보고 단가 1개(계절별 단일요금). 갑Ⅱ = 시간대별 계량기를 달아 경·중·최대부하로 나눠 계산(계시별)</t>
        </is>
      </c>
      <c r="D7" s="96" t="inlineStr">
        <is>
          <t>약관 별표1</t>
        </is>
      </c>
      <c r="E7" s="96" t="inlineStr">
        <is>
          <t>갑Ⅱ가 되려면 시간대별 전력량계 설치. 을은 항상 계시별</t>
        </is>
      </c>
    </row>
    <row r="8" ht="56" customHeight="1" s="42">
      <c r="A8" s="95" t="inlineStr">
        <is>
          <t>선택Ⅰ·Ⅱ·Ⅲ(·Ⅳ)</t>
        </is>
      </c>
      <c r="B8" s="96" t="inlineStr">
        <is>
          <t>기본요금과 전력량요금의 조합 옵션</t>
        </is>
      </c>
      <c r="C8" s="96" t="inlineStr">
        <is>
          <t>번호가 올라갈수록 기본요금(원/kW)은 비싸지고 전력량단가(원/kWh)는 싸진다 → 전기를 많이·꾸준히 쓰는 곳일수록 높은 번호가 유리</t>
        </is>
      </c>
      <c r="D8" s="96" t="inlineStr">
        <is>
          <t>약관 별표1</t>
        </is>
      </c>
      <c r="E8" s="96" t="inlineStr">
        <is>
          <t>일반용(갑)Ⅱ의 선택Ⅲ·Ⅳ만 예외: 계시별을 포기하고 갑Ⅰ과 같은 계절별 단일요금을 쓰는 옵션(2026.6.1 신설)</t>
        </is>
      </c>
    </row>
    <row r="9" ht="56" customHeight="1" s="42">
      <c r="A9" s="95" t="inlineStr">
        <is>
          <t>저압 / 고압A / 고압B / 고압C</t>
        </is>
      </c>
      <c r="B9" s="96" t="inlineStr">
        <is>
          <t>공급받는 전압</t>
        </is>
      </c>
      <c r="C9" s="96" t="inlineStr">
        <is>
          <t>저압 = 220/380V(일반 주택·소규모 상가). 고압A = 3.3~66kV(대부분의 건물·아파트 수전). 고압B = 154kV, 고압C = 345kV(대형 공장급)</t>
        </is>
      </c>
      <c r="D9" s="96" t="inlineStr">
        <is>
          <t>약관 제23조</t>
        </is>
      </c>
      <c r="E9" s="96" t="inlineStr">
        <is>
          <t>전압이 높을수록 단가가 조금 싸다(한전 설비 부담이 적어서). 아파트는 단지가 고압으로 받아도 세대 청구는 주택용 고압 누진</t>
        </is>
      </c>
    </row>
    <row r="10" ht="48" customHeight="1" s="42">
      <c r="A10" s="95" t="inlineStr">
        <is>
          <t>경부하 / 중간부하 / 최대부하</t>
        </is>
      </c>
      <c r="B10" s="96" t="inlineStr">
        <is>
          <t>하루를 3구간으로 나눈 시간대</t>
        </is>
      </c>
      <c r="C10" s="96" t="inlineStr">
        <is>
          <t>경 = 밤(22~08시, 제일 싸다), 중간 = 낮, 최대 = 저녁 피크(제일 비싸다). 구간 경계는 계절·지역에 따라 다름 → 시간대_육지vs제주 시트</t>
        </is>
      </c>
      <c r="D10" s="96" t="inlineStr">
        <is>
          <t>약관 별표3</t>
        </is>
      </c>
      <c r="E10" s="96" t="inlineStr">
        <is>
          <t>2026 개편으로 육지 여름·봄·가을 최대부하가 15~21시로 이동</t>
        </is>
      </c>
    </row>
    <row r="11" ht="48" customHeight="1" s="42">
      <c r="A11" s="95" t="inlineStr">
        <is>
          <t>계시별 (계절별·시간대별)</t>
        </is>
      </c>
      <c r="B11" s="96" t="inlineStr">
        <is>
          <t>계절 × 시간대로 단가가 달라지는 요금</t>
        </is>
      </c>
      <c r="C11" s="96" t="inlineStr">
        <is>
          <t>"언제 쓰느냐"에 따라 요금이 달라지는 방식. HEMS가 부하 이동으로 돈을 아낄 수 있는 요금제는 전부 계시별</t>
        </is>
      </c>
      <c r="D11" s="96" t="inlineStr">
        <is>
          <t>약관 별표1·별표3</t>
        </is>
      </c>
      <c r="E11" s="96" t="inlineStr">
        <is>
          <t>누진제(주택 기본)는 "얼마나 쓰느냐"만 본다 → 시간 이동 효과 없음</t>
        </is>
      </c>
    </row>
    <row r="12" ht="48" customHeight="1" s="42">
      <c r="A12" s="95" t="inlineStr">
        <is>
          <t>누진제</t>
        </is>
      </c>
      <c r="B12" s="96" t="inlineStr">
        <is>
          <t>월 사용량이 많아질수록 단가가 올라가는 구조(3단계)</t>
        </is>
      </c>
      <c r="C12" s="96" t="inlineStr">
        <is>
          <t>200kWh까지 120원, 다음 200kWh 214.6원, 400kWh 초과 307.3원. 기본요금도 도달 단계에 따라 910 → 1,600 → 7,300원</t>
        </is>
      </c>
      <c r="D12" s="96" t="inlineStr">
        <is>
          <t>약관 별표1 1.가</t>
        </is>
      </c>
      <c r="E12" s="96" t="inlineStr">
        <is>
          <t>여름(7~8월)은 구간이 300/450kWh로 넓어짐. 1,000kWh 초과는 슈퍼유저 736.2원</t>
        </is>
      </c>
    </row>
    <row r="13" ht="48" customHeight="1" s="42">
      <c r="A13" s="95" t="inlineStr">
        <is>
          <t>기본요금 단위</t>
        </is>
      </c>
      <c r="B13" s="96" t="inlineStr">
        <is>
          <t>원/kW 또는 원/호</t>
        </is>
      </c>
      <c r="C13" s="96" t="inlineStr">
        <is>
          <t>원/호 = 집 한 채당 정액(주택 누진). 원/kW = 계약전력(또는 요금적용전력) 1kW마다 부과(일반·산업·EV·주택 계시별)</t>
        </is>
      </c>
      <c r="D13" s="96" t="inlineStr">
        <is>
          <t>약관 별표1, 세칙 별표12</t>
        </is>
      </c>
      <c r="E13" s="96" t="inlineStr">
        <is>
          <t>주택용 계시별 선택요금은 원/kW(4,310원) × 3kW 고정 = 월 12,930원</t>
        </is>
      </c>
    </row>
    <row r="14" ht="48" customHeight="1" s="42">
      <c r="A14" s="95" t="inlineStr">
        <is>
          <t>요금적용전력</t>
        </is>
      </c>
      <c r="B14" s="96" t="inlineStr">
        <is>
          <t>기본요금을 곱할 kW</t>
        </is>
      </c>
      <c r="C14" s="96" t="inlineStr">
        <is>
          <t>보통은 계약전력. 최대수요전력계가 있으면 직전 12개월 중 여름·겨울 피크 중 최댓값(계약전력의 30% 이상)</t>
        </is>
      </c>
      <c r="D14" s="96" t="inlineStr">
        <is>
          <t>약관 제68조</t>
        </is>
      </c>
      <c r="E14" s="96" t="inlineStr">
        <is>
          <t>EV 별도계약의 K값이 이것. 충전기 명판 7kW와 다를 수 있음</t>
        </is>
      </c>
    </row>
    <row r="16" ht="20" customHeight="1" s="42">
      <c r="A16" s="92" t="inlineStr">
        <is>
          <t>B. HEMS가 다루는 계약종별 비교</t>
        </is>
      </c>
      <c r="B16" s="70" t="n"/>
      <c r="C16" s="70" t="n"/>
      <c r="D16" s="70" t="n"/>
      <c r="E16" s="70" t="n"/>
      <c r="F16" s="70" t="n"/>
      <c r="G16" s="70" t="n"/>
      <c r="H16" s="71" t="n"/>
    </row>
    <row r="17" ht="30" customHeight="1" s="42">
      <c r="A17" s="94" t="inlineStr">
        <is>
          <t>구분</t>
        </is>
      </c>
      <c r="B17" s="94" t="inlineStr">
        <is>
          <t>주택용 (누진제)</t>
        </is>
      </c>
      <c r="C17" s="94" t="inlineStr">
        <is>
          <t>주택용 계시별 선택요금</t>
        </is>
      </c>
      <c r="D17" s="94" t="inlineStr">
        <is>
          <t>일반용(갑)Ⅰ</t>
        </is>
      </c>
      <c r="E17" s="94" t="inlineStr">
        <is>
          <t>일반용(갑)Ⅱ 선택Ⅰ·Ⅱ</t>
        </is>
      </c>
      <c r="F17" s="94" t="inlineStr">
        <is>
          <t>일반용(갑)Ⅱ 선택Ⅲ·Ⅳ</t>
        </is>
      </c>
      <c r="G17" s="94" t="inlineStr">
        <is>
          <t>일반용(을)</t>
        </is>
      </c>
      <c r="H17" s="94" t="inlineStr">
        <is>
          <t>전기자동차 충전전력</t>
        </is>
      </c>
    </row>
    <row r="18" ht="36" customHeight="1" s="42">
      <c r="A18" s="95" t="inlineStr">
        <is>
          <t>계약전력</t>
        </is>
      </c>
      <c r="B18" s="96" t="inlineStr">
        <is>
          <t>주거용 (원칙 3kW 이하 소규모 포함)</t>
        </is>
      </c>
      <c r="C18" s="96" t="inlineStr">
        <is>
          <t>주거용 + 자격요건</t>
        </is>
      </c>
      <c r="D18" s="96" t="inlineStr">
        <is>
          <t>300kW 미만</t>
        </is>
      </c>
      <c r="E18" s="96" t="inlineStr">
        <is>
          <t>300kW 미만</t>
        </is>
      </c>
      <c r="F18" s="96" t="inlineStr">
        <is>
          <t>300kW 미만</t>
        </is>
      </c>
      <c r="G18" s="96" t="inlineStr">
        <is>
          <t>300kW 이상</t>
        </is>
      </c>
      <c r="H18" s="96" t="inlineStr">
        <is>
          <t>충전설비 용량 기준 별도 계약</t>
        </is>
      </c>
    </row>
    <row r="19" ht="48" customHeight="1" s="42">
      <c r="A19" s="95" t="inlineStr">
        <is>
          <t>주요 고객 (설명)</t>
        </is>
      </c>
      <c r="B19" s="96" t="inlineStr">
        <is>
          <t>일반 가정·아파트 세대</t>
        </is>
      </c>
      <c r="C19" s="96" t="inlineStr">
        <is>
          <t>제주 주거용 전 가구 / 육지 인증 지열·공기열(히트펌프) 설치 가구</t>
        </is>
      </c>
      <c r="D19" s="96" t="inlineStr">
        <is>
          <t>소규모 상가·사무실·소형 건물</t>
        </is>
      </c>
      <c r="E19" s="96" t="inlineStr">
        <is>
          <t>중소형 상가·빌딩·사업장 (시간대별 계량기 설치)</t>
        </is>
      </c>
      <c r="F19" s="96" t="inlineStr">
        <is>
          <t>갑Ⅱ 고객 중 시간 이동이 어려운 곳</t>
        </is>
      </c>
      <c r="G19" s="96" t="inlineStr">
        <is>
          <t>대형 빌딩·호텔·백화점·대형 사업장</t>
        </is>
      </c>
      <c r="H19" s="96" t="inlineStr">
        <is>
          <t>자택·아파트 자가충전기, 충전사업자</t>
        </is>
      </c>
    </row>
    <row r="20" ht="40" customHeight="1" s="42">
      <c r="A20" s="95" t="inlineStr">
        <is>
          <t>요금 방식</t>
        </is>
      </c>
      <c r="B20" s="96" t="inlineStr">
        <is>
          <t>누진 3단계 (얼마나 쓰느냐)</t>
        </is>
      </c>
      <c r="C20" s="96" t="inlineStr">
        <is>
          <t>경·중·최대부하 시간대별 (언제 쓰느냐)</t>
        </is>
      </c>
      <c r="D20" s="96" t="inlineStr">
        <is>
          <t>계절별 단일요금</t>
        </is>
      </c>
      <c r="E20" s="96" t="inlineStr">
        <is>
          <t>경·중·최대부하 시간대별</t>
        </is>
      </c>
      <c r="F20" s="96" t="inlineStr">
        <is>
          <t>계절별 단일요금 (갑Ⅰ과 동일 단가)</t>
        </is>
      </c>
      <c r="G20" s="96" t="inlineStr">
        <is>
          <t>경·중·최대부하 시간대별</t>
        </is>
      </c>
      <c r="H20" s="96" t="inlineStr">
        <is>
          <t>경·중·최대부하 시간대별</t>
        </is>
      </c>
    </row>
    <row r="21" ht="24" customHeight="1" s="42">
      <c r="A21" s="95" t="inlineStr">
        <is>
          <t>계시별 적용</t>
        </is>
      </c>
      <c r="B21" s="96" t="inlineStr">
        <is>
          <t>✕ 없음</t>
        </is>
      </c>
      <c r="C21" s="96" t="inlineStr">
        <is>
          <t>○</t>
        </is>
      </c>
      <c r="D21" s="96" t="inlineStr">
        <is>
          <t>✕ 없음</t>
        </is>
      </c>
      <c r="E21" s="96" t="inlineStr">
        <is>
          <t>○</t>
        </is>
      </c>
      <c r="F21" s="96" t="inlineStr">
        <is>
          <t>✕ (계시별 포기 옵션)</t>
        </is>
      </c>
      <c r="G21" s="96" t="inlineStr">
        <is>
          <t>○ (필수)</t>
        </is>
      </c>
      <c r="H21" s="96" t="inlineStr">
        <is>
          <t>○</t>
        </is>
      </c>
    </row>
    <row r="22" ht="40" customHeight="1" s="42">
      <c r="A22" s="95" t="inlineStr">
        <is>
          <t>선택 종류</t>
        </is>
      </c>
      <c r="B22" s="96" t="inlineStr">
        <is>
          <t>없음 (저압/고압만 다름)</t>
        </is>
      </c>
      <c r="C22" s="96" t="inlineStr">
        <is>
          <t>없음</t>
        </is>
      </c>
      <c r="D22" s="96" t="inlineStr">
        <is>
          <t>저압 / 고압A·B 선택Ⅰ·Ⅱ</t>
        </is>
      </c>
      <c r="E22" s="96" t="inlineStr">
        <is>
          <t>선택Ⅰ·Ⅱ</t>
        </is>
      </c>
      <c r="F22" s="96" t="inlineStr">
        <is>
          <t>선택Ⅲ·Ⅳ (2026.6.1 신설)</t>
        </is>
      </c>
      <c r="G22" s="96" t="inlineStr">
        <is>
          <t>선택Ⅰ·Ⅱ·Ⅲ</t>
        </is>
      </c>
      <c r="H22" s="96" t="inlineStr">
        <is>
          <t>자가소비용 저압/고압 (사업자용은 선택Ⅰ~Ⅳ)</t>
        </is>
      </c>
    </row>
    <row r="23" ht="48" customHeight="1" s="42">
      <c r="A23" s="95" t="inlineStr">
        <is>
          <t>기본요금</t>
        </is>
      </c>
      <c r="B23" s="96" t="inlineStr">
        <is>
          <t>910 / 1,600 / 7,300 원/호 (도달 단계)</t>
        </is>
      </c>
      <c r="C23" s="96" t="inlineStr">
        <is>
          <t>4,310원/kW × 3kW = 12,930원/월 고정</t>
        </is>
      </c>
      <c r="D23" s="96" t="inlineStr">
        <is>
          <t>저압 6,160 · 고압A 7,170(Ⅰ)/8,230(Ⅱ) 원/kW</t>
        </is>
      </c>
      <c r="E23" s="96" t="inlineStr">
        <is>
          <t>고압A 7,170(Ⅰ)/8,230(Ⅱ) 원/kW</t>
        </is>
      </c>
      <c r="F23" s="96" t="inlineStr">
        <is>
          <t>고압A 7,170(Ⅲ)/8,230(Ⅳ) 원/kW</t>
        </is>
      </c>
      <c r="G23" s="96" t="inlineStr">
        <is>
          <t>고압A 7,220(Ⅰ)/8,320(Ⅱ)/9,810(Ⅲ) 원/kW</t>
        </is>
      </c>
      <c r="H23" s="96" t="inlineStr">
        <is>
          <t>저압 2,390 · 고압 2,580 원/kW</t>
        </is>
      </c>
    </row>
    <row r="24" ht="48" customHeight="1" s="42">
      <c r="A24" s="95" t="inlineStr">
        <is>
          <t>최대부하 단가 (봄·가을, 고압A 선택Ⅰ 기준)</t>
        </is>
      </c>
      <c r="B24" s="96" t="inlineStr">
        <is>
          <t>해당 없음 (구간단가 120/214.6/307.3)</t>
        </is>
      </c>
      <c r="C24" s="96" t="inlineStr">
        <is>
          <t>172.4 원/kWh</t>
        </is>
      </c>
      <c r="D24" s="96" t="inlineStr">
        <is>
          <t>해당 없음 (98.6 단일)</t>
        </is>
      </c>
      <c r="E24" s="96" t="inlineStr">
        <is>
          <t>108.1 원/kWh</t>
        </is>
      </c>
      <c r="F24" s="96" t="inlineStr">
        <is>
          <t>해당 없음 (98.6 단일)</t>
        </is>
      </c>
      <c r="G24" s="96" t="inlineStr">
        <is>
          <t>146.0 원/kWh — 갑Ⅱ보다 높아 피크 관리가 더 중요</t>
        </is>
      </c>
      <c r="H24" s="96" t="inlineStr">
        <is>
          <t>저압 102.1 · 고압 94.9 원/kWh</t>
        </is>
      </c>
    </row>
    <row r="25" ht="30" customHeight="1" s="42">
      <c r="A25" s="95" t="inlineStr">
        <is>
          <t>경부하 단가 (봄·가을)</t>
        </is>
      </c>
      <c r="B25" s="96" t="inlineStr">
        <is>
          <t>—</t>
        </is>
      </c>
      <c r="C25" s="96" t="inlineStr">
        <is>
          <t>125.8</t>
        </is>
      </c>
      <c r="D25" s="96" t="inlineStr">
        <is>
          <t>—</t>
        </is>
      </c>
      <c r="E25" s="96" t="inlineStr">
        <is>
          <t>89.4 (고압A Ⅰ)</t>
        </is>
      </c>
      <c r="F25" s="96" t="inlineStr">
        <is>
          <t>—</t>
        </is>
      </c>
      <c r="G25" s="96" t="inlineStr">
        <is>
          <t>92.8 (고압A Ⅰ)</t>
        </is>
      </c>
      <c r="H25" s="96" t="inlineStr">
        <is>
          <t>저압 85.4 · 고압 80.2</t>
        </is>
      </c>
    </row>
    <row r="26" ht="36" customHeight="1" s="42">
      <c r="A26" s="95" t="inlineStr">
        <is>
          <t>2026 시간대 개편 적용일</t>
        </is>
      </c>
      <c r="B26" s="96" t="inlineStr">
        <is>
          <t>해당 없음</t>
        </is>
      </c>
      <c r="C26" s="96" t="inlineStr">
        <is>
          <t>별표3 준용 (육지 6.1 개편 시간대, 제주 16~22시)</t>
        </is>
      </c>
      <c r="D26" s="96" t="inlineStr">
        <is>
          <t>해당 없음</t>
        </is>
      </c>
      <c r="E26" s="96" t="inlineStr">
        <is>
          <t>2026.6.1</t>
        </is>
      </c>
      <c r="F26" s="96" t="inlineStr">
        <is>
          <t>해당 없음</t>
        </is>
      </c>
      <c r="G26" s="96" t="inlineStr">
        <is>
          <t>2026.6.1</t>
        </is>
      </c>
      <c r="H26" s="96" t="inlineStr">
        <is>
          <t>2026.4.16</t>
        </is>
      </c>
    </row>
    <row r="27" ht="24" customHeight="1" s="42">
      <c r="A27" s="95" t="inlineStr">
        <is>
          <t>봄·가을 주말 11~14시 50% 할인</t>
        </is>
      </c>
      <c r="B27" s="96" t="inlineStr">
        <is>
          <t>✕</t>
        </is>
      </c>
      <c r="C27" s="96" t="inlineStr">
        <is>
          <t>✕</t>
        </is>
      </c>
      <c r="D27" s="96" t="inlineStr">
        <is>
          <t>✕</t>
        </is>
      </c>
      <c r="E27" s="96" t="inlineStr">
        <is>
          <t>✕</t>
        </is>
      </c>
      <c r="F27" s="96" t="inlineStr">
        <is>
          <t>✕</t>
        </is>
      </c>
      <c r="G27" s="96" t="inlineStr">
        <is>
          <t>✕</t>
        </is>
      </c>
      <c r="H27" s="96" t="inlineStr">
        <is>
          <t>○ (2026.4.18~2030.12.31)</t>
        </is>
      </c>
    </row>
    <row r="28" ht="56" customHeight="1" s="42">
      <c r="A28" s="95" t="inlineStr">
        <is>
          <t>HEMS에서 쓸 수 있는 레버</t>
        </is>
      </c>
      <c r="B28" s="96" t="inlineStr">
        <is>
          <t>월 누적 사용량 관리 (400kWh·1,000kWh 경계), 캐시백</t>
        </is>
      </c>
      <c r="C28" s="96" t="inlineStr">
        <is>
          <t>부하 이동 (최대부하 회피), 누진 vs 계시별 전환 시뮬레이션</t>
        </is>
      </c>
      <c r="D28" s="96" t="inlineStr">
        <is>
          <t>사용량 절감만</t>
        </is>
      </c>
      <c r="E28" s="96" t="inlineStr">
        <is>
          <t>부하 이동, 선택Ⅰ↔Ⅱ 비교</t>
        </is>
      </c>
      <c r="F28" s="96" t="inlineStr">
        <is>
          <t>사용량 절감만</t>
        </is>
      </c>
      <c r="G28" s="96" t="inlineStr">
        <is>
          <t>부하 이동 + 최대수요(kW) 관리, 선택Ⅰ~Ⅲ 비교</t>
        </is>
      </c>
      <c r="H28" s="96" t="inlineStr">
        <is>
          <t>야간 충전, 봄·가을 주말 낮 충전, 별도계약 vs 합산 비교</t>
        </is>
      </c>
    </row>
    <row r="29" ht="30" customHeight="1" s="42">
      <c r="A29" s="95" t="inlineStr">
        <is>
          <t>근거</t>
        </is>
      </c>
      <c r="B29" s="96" t="inlineStr">
        <is>
          <t>A1 별표1 1.가</t>
        </is>
      </c>
      <c r="C29" s="96" t="inlineStr">
        <is>
          <t>A2 별표12·제48조의5</t>
        </is>
      </c>
      <c r="D29" s="96" t="inlineStr">
        <is>
          <t>A1 별표1 1.나</t>
        </is>
      </c>
      <c r="E29" s="96" t="inlineStr">
        <is>
          <t>A1 별표1 1.나</t>
        </is>
      </c>
      <c r="F29" s="96" t="inlineStr">
        <is>
          <t>A1 별표1·부칙 2026.5.22</t>
        </is>
      </c>
      <c r="G29" s="96" t="inlineStr">
        <is>
          <t>A1 별표1 1.나</t>
        </is>
      </c>
      <c r="H29" s="96" t="inlineStr">
        <is>
          <t>A2 별표4 제4호·제48조의7</t>
        </is>
      </c>
    </row>
    <row r="30" ht="36" customHeight="1" s="42">
      <c r="A30" s="97" t="inlineStr">
        <is>
          <t>"주요 고객" 행은 이해를 돕기 위한 일반적 설명이며 약관에 규정된 문구가 아닙니다. 나머지 행은 약관·시행세칙 원문 기준(출처 시트 A1·A2). 단가는 2026.6.1 시행 별표1, 주택 계시별·EV는 2026.8.1판 시행세칙.</t>
        </is>
      </c>
    </row>
    <row r="32" ht="20" customHeight="1" s="42">
      <c r="A32" s="92" t="inlineStr">
        <is>
          <t>C. 선택Ⅰ vs 선택Ⅱ — 어느 쪽이 유리한가 (일반용(갑)Ⅱ 고압A 예시)</t>
        </is>
      </c>
      <c r="B32" s="70" t="n"/>
      <c r="C32" s="70" t="n"/>
      <c r="D32" s="70" t="n"/>
      <c r="E32" s="70" t="n"/>
      <c r="F32" s="70" t="n"/>
      <c r="G32" s="70" t="n"/>
      <c r="H32" s="71" t="n"/>
    </row>
    <row r="33" ht="30" customHeight="1" s="42">
      <c r="A33" s="94" t="inlineStr">
        <is>
          <t>항목</t>
        </is>
      </c>
      <c r="B33" s="94" t="inlineStr">
        <is>
          <t>선택Ⅰ</t>
        </is>
      </c>
      <c r="C33" s="94" t="inlineStr">
        <is>
          <t>선택Ⅱ</t>
        </is>
      </c>
      <c r="D33" s="94" t="inlineStr">
        <is>
          <t>차이</t>
        </is>
      </c>
      <c r="E33" s="94" t="inlineStr">
        <is>
          <t>해석</t>
        </is>
      </c>
      <c r="F33" s="94" t="inlineStr"/>
      <c r="G33" s="94" t="inlineStr"/>
      <c r="H33" s="94" t="inlineStr"/>
    </row>
    <row r="34" ht="24" customHeight="1" s="42">
      <c r="A34" s="95" t="inlineStr">
        <is>
          <t>기본요금 (원/kW·월)</t>
        </is>
      </c>
      <c r="B34" s="96" t="inlineStr">
        <is>
          <t>7,170</t>
        </is>
      </c>
      <c r="C34" s="96" t="inlineStr">
        <is>
          <t>8,230</t>
        </is>
      </c>
      <c r="D34" s="96" t="inlineStr">
        <is>
          <t>+1,060</t>
        </is>
      </c>
      <c r="E34" s="96" t="inlineStr">
        <is>
          <t>Ⅱ가 kW당 1,060원 더 냄</t>
        </is>
      </c>
    </row>
    <row r="35" ht="30" customHeight="1" s="42">
      <c r="A35" s="95" t="inlineStr">
        <is>
          <t>전력량요금 봄·가을 (경/중/최, 원/kWh)</t>
        </is>
      </c>
      <c r="B35" s="96" t="inlineStr">
        <is>
          <t>89.4 / 96.8 / 108.1</t>
        </is>
      </c>
      <c r="C35" s="96" t="inlineStr">
        <is>
          <t>84.1 / 91.5 / 102.8</t>
        </is>
      </c>
      <c r="D35" s="96" t="inlineStr">
        <is>
          <t>−5.3 (전 시간대 동일)</t>
        </is>
      </c>
      <c r="E35" s="96" t="inlineStr">
        <is>
          <t>Ⅱ가 kWh당 5.3원 덜 냄</t>
        </is>
      </c>
    </row>
    <row r="36" ht="48" customHeight="1" s="42">
      <c r="A36" s="95" t="inlineStr">
        <is>
          <t>손익분기</t>
        </is>
      </c>
      <c r="B36" s="96" t="inlineStr">
        <is>
          <t>—</t>
        </is>
      </c>
      <c r="C36" s="96" t="inlineStr">
        <is>
          <t>—</t>
        </is>
      </c>
      <c r="D36" s="96" t="inlineStr">
        <is>
          <t>1,060 ÷ 5.3 = 200 kWh/kW·월</t>
        </is>
      </c>
      <c r="E36" s="96" t="inlineStr">
        <is>
          <t>계약전력 1kW당 월 200kWh 이상(이용률 약 28%) 쓰면 선택Ⅱ 유리. 예: 100kW 계약이면 월 20,000kWh 이상</t>
        </is>
      </c>
    </row>
    <row r="37" ht="40" customHeight="1" s="42">
      <c r="A37" s="95" t="inlineStr">
        <is>
          <t>일반용(을)의 선택Ⅲ</t>
        </is>
      </c>
      <c r="B37" s="96" t="inlineStr">
        <is>
          <t>기본 9,810 (Ⅰ 대비 +2,590)</t>
        </is>
      </c>
      <c r="C37" s="96" t="inlineStr">
        <is>
          <t>전력량 Ⅰ 대비 약 −6.4~−13.8원</t>
        </is>
      </c>
      <c r="D37" s="96" t="inlineStr">
        <is>
          <t>봄·가을 최대부하 기준 −13.8</t>
        </is>
      </c>
      <c r="E37" s="96" t="inlineStr">
        <is>
          <t>을 고객은 Ⅰ→Ⅱ→Ⅲ으로 갈수록 대형·고이용률 사업장용</t>
        </is>
      </c>
    </row>
    <row r="38" ht="32" customHeight="1" s="42">
      <c r="A38" s="97" t="inlineStr">
        <is>
          <t>원리: 선택 번호는 "고정비를 더 내고 변동비를 깎는" 옵션입니다. 이용률(사용량 ÷ 계약전력)이 높을수록 높은 번호가 유리합니다. 주택용·EV 자가소비에는 선택 옵션이 없습니다.</t>
        </is>
      </c>
    </row>
    <row r="40" ht="20" customHeight="1" s="42">
      <c r="A40" s="92" t="inlineStr">
        <is>
          <t>D. HEMS 범위 밖 종별 (참고만)</t>
        </is>
      </c>
      <c r="B40" s="70" t="n"/>
      <c r="C40" s="70" t="n"/>
      <c r="D40" s="70" t="n"/>
      <c r="E40" s="70" t="n"/>
      <c r="F40" s="70" t="n"/>
      <c r="G40" s="70" t="n"/>
      <c r="H40" s="71" t="n"/>
    </row>
    <row r="41" ht="30" customHeight="1" s="42">
      <c r="A41" s="94" t="inlineStr">
        <is>
          <t>종별</t>
        </is>
      </c>
      <c r="B41" s="94" t="inlineStr">
        <is>
          <t>한 줄 설명</t>
        </is>
      </c>
      <c r="C41" s="94" t="inlineStr">
        <is>
          <t>HEMS 관련성</t>
        </is>
      </c>
      <c r="D41" s="94" t="inlineStr">
        <is>
          <t>시트</t>
        </is>
      </c>
      <c r="E41" s="94" t="inlineStr"/>
      <c r="F41" s="94" t="inlineStr"/>
      <c r="G41" s="94" t="inlineStr"/>
      <c r="H41" s="94" t="inlineStr"/>
    </row>
    <row r="42" ht="40" customHeight="1" s="42">
      <c r="A42" s="95" t="inlineStr">
        <is>
          <t>산업용(갑Ⅰ·갑Ⅱ·을)</t>
        </is>
      </c>
      <c r="B42" s="96" t="inlineStr">
        <is>
          <t>광업·제조업. 구조는 일반용과 같고(갑/을·선택·계시별) 단가만 다름. 을은 2026.4.16 개편·9.30까지 유예·주말 50% 할인 대상</t>
        </is>
      </c>
      <c r="C42" s="96" t="inlineStr">
        <is>
          <t>가정 HEMS 없음. 공장 EMS 대상</t>
        </is>
      </c>
      <c r="D42" s="96" t="inlineStr">
        <is>
          <t>산업용 (숨김)</t>
        </is>
      </c>
    </row>
    <row r="43" ht="24" customHeight="1" s="42">
      <c r="A43" s="95" t="inlineStr">
        <is>
          <t>교육용(갑·을)</t>
        </is>
      </c>
      <c r="B43" s="96" t="inlineStr">
        <is>
          <t>학교·도서관. 갑/을 기준이 1,000kW</t>
        </is>
      </c>
      <c r="C43" s="96" t="inlineStr">
        <is>
          <t>없음</t>
        </is>
      </c>
      <c r="D43" s="96" t="inlineStr">
        <is>
          <t>교육용 (숨김)</t>
        </is>
      </c>
    </row>
    <row r="44" ht="30" customHeight="1" s="42">
      <c r="A44" s="95" t="inlineStr">
        <is>
          <t>농사용·가로등·심야전력</t>
        </is>
      </c>
      <c r="B44" s="96" t="inlineStr">
        <is>
          <t>단일요금 종별. 심야전력은 신규가입 중단, 현행 단가 미확인</t>
        </is>
      </c>
      <c r="C44" s="96" t="inlineStr">
        <is>
          <t>없음 (심야 축열기기 가구는 예외적)</t>
        </is>
      </c>
      <c r="D44" s="96" t="inlineStr">
        <is>
          <t>농사용_가로등_심야 (숨김)</t>
        </is>
      </c>
    </row>
    <row r="45" ht="30" customHeight="1" s="42">
      <c r="A45" s="95" t="inlineStr">
        <is>
          <t>일반용 보완전력</t>
        </is>
      </c>
      <c r="B45" s="96" t="inlineStr">
        <is>
          <t>자가발전 고객의 부족분 보완. 현행 단가 미확인(선택공급약관 소관)</t>
        </is>
      </c>
      <c r="C45" s="96" t="inlineStr">
        <is>
          <t>태양광+ESS 대형 사업장에서만</t>
        </is>
      </c>
      <c r="D45" s="96" t="inlineStr">
        <is>
          <t>일반용 시트 하단 (확인필요)</t>
        </is>
      </c>
    </row>
    <row r="47" ht="20" customHeight="1" s="42">
      <c r="A47" s="92" t="inlineStr">
        <is>
          <t>E. 히트펌프 설치 가구의 3가지 요금 선택지 — 쉽게 (주택용 시트 C절의 풀이)</t>
        </is>
      </c>
      <c r="B47" s="70" t="n"/>
      <c r="C47" s="70" t="n"/>
      <c r="D47" s="70" t="n"/>
      <c r="E47" s="70" t="n"/>
      <c r="F47" s="70" t="n"/>
      <c r="G47" s="70" t="n"/>
      <c r="H47" s="71" t="n"/>
    </row>
    <row r="48" ht="30" customHeight="1" s="42">
      <c r="A48" s="94" t="inlineStr">
        <is>
          <t>선택지</t>
        </is>
      </c>
      <c r="B48" s="94" t="inlineStr">
        <is>
          <t>한 줄로</t>
        </is>
      </c>
      <c r="C48" s="94" t="inlineStr">
        <is>
          <t>이런 집에 유리</t>
        </is>
      </c>
      <c r="D48" s="94" t="inlineStr">
        <is>
          <t>요금 구조 — 여름(6~8월) / 봄·가을(3~5·9~10월) / 겨울(11~2월)</t>
        </is>
      </c>
      <c r="E48" s="94" t="inlineStr">
        <is>
          <t>계량기</t>
        </is>
      </c>
      <c r="F48" s="94" t="inlineStr">
        <is>
          <t>누진을 피하는 방법</t>
        </is>
      </c>
      <c r="G48" s="94" t="inlineStr">
        <is>
          <t>근거</t>
        </is>
      </c>
      <c r="H48" s="94" t="inlineStr">
        <is>
          <t>자격 (육지 / 제주)</t>
        </is>
      </c>
    </row>
    <row r="49" ht="72" customHeight="1" s="42">
      <c r="A49" s="95" t="inlineStr">
        <is>
          <t>① 주택용 누진제 유지</t>
        </is>
      </c>
      <c r="B49" s="96" t="inlineStr">
        <is>
          <t>아무것도 안 바꿈. 집 전체(히트펌프 포함)를 기존 누진으로</t>
        </is>
      </c>
      <c r="C49" s="96" t="inlineStr">
        <is>
          <t>전기를 적게 쓰거나, 태양광이 있어 낮 사용량을 스스로 메꾸는 집</t>
        </is>
      </c>
      <c r="D49" s="96" t="inlineStr">
        <is>
          <t>기본 910 / 1,600 / 7,300원/호(도달 단계) + 전력량 120 / 214.6 / 307.3원/kWh. 계절 무관 동일 단가(구간만 7~8월 300/450kWh, 그 외 200/400kWh). 7~8월·12~2월 1,000kWh 초과분 736.2원</t>
        </is>
      </c>
      <c r="E49" s="96" t="inlineStr">
        <is>
          <t>1개 (집 전체)</t>
        </is>
      </c>
      <c r="F49" s="96" t="inlineStr">
        <is>
          <t>안 피함</t>
        </is>
      </c>
      <c r="G49" s="96" t="inlineStr">
        <is>
          <t>A1 별표1 1.가 / 확정</t>
        </is>
      </c>
      <c r="H49" s="96" t="inlineStr">
        <is>
          <t>육지·제주 누구나</t>
        </is>
      </c>
    </row>
    <row r="50" ht="72" customHeight="1" s="42">
      <c r="A50" s="95" t="inlineStr">
        <is>
          <t>② 히트펌프 분리 일반용</t>
        </is>
      </c>
      <c r="B50" s="96" t="inlineStr">
        <is>
          <t>히트펌프에 계량기를 하나 더 달아 그 전기만 일반용(누진 없음)으로, 나머지 집은 누진 그대로</t>
        </is>
      </c>
      <c r="C50" s="96" t="inlineStr">
        <is>
          <t>월 600kWh 이상 쓰는 고사용 가구 (전기신문 분석 기준 역전점)</t>
        </is>
      </c>
      <c r="D50" s="96" t="inlineStr">
        <is>
          <t>히트펌프분: 일반용(갑)Ⅰ 저압 — 기본 6,160원/kW(요금적용전력) + 전력량 여름(6~8월) 132.4 / 봄·가을(3~5·9~10월) 91.9 / 겨울(11~2월) 119.0원/kWh (시간대 구분 없음, 누진 없음). 집분: ①의 누진 그대로</t>
        </is>
      </c>
      <c r="E50" s="96" t="inlineStr">
        <is>
          <t>2개 (집 + 히트펌프 별도)</t>
        </is>
      </c>
      <c r="F50" s="96" t="inlineStr">
        <is>
          <t>히트펌프를 누진 밖으로 빼서 피함</t>
        </is>
      </c>
      <c r="G50" s="96" t="inlineStr">
        <is>
          <t>A1 제56조 ①1 단서·별표1 1.나 / 확정</t>
        </is>
      </c>
      <c r="H50" s="96" t="inlineStr">
        <is>
          <t>육지·제주: 신재생법 제13조 인증 지열·공기열 설비에 한해 별도 적용 (약관 제56조 ①1 단서)</t>
        </is>
      </c>
    </row>
    <row r="51" ht="84" customHeight="1" s="42">
      <c r="A51" s="95" t="inlineStr">
        <is>
          <t>③ 주택용 계시별 선택요금</t>
        </is>
      </c>
      <c r="B51" s="96" t="inlineStr">
        <is>
          <t>집 전체를 누진 대신 시간대별 요금으로 전환</t>
        </is>
      </c>
      <c r="C51" s="96" t="inlineStr">
        <is>
          <t>야간·낮으로 부하를 옮길 수 있는 집 (HEMS가 있으면 이쪽)</t>
        </is>
      </c>
      <c r="D51" s="96" t="inlineStr">
        <is>
          <t>기본 12,930원/월 고정 (4,310원/kW × 가구당 3kW) + 전력량 여름(6~8월)·겨울(11~2월) 경 138.7 / 중 184.7 / 최 220.5, 봄·가을(3~5·9~10월) 경 125.8 / 중 153.8 / 최 172.4원/kWh. 6~8월·11~2월 1,000kWh 초과분 736.2원</t>
        </is>
      </c>
      <c r="E51" s="96" t="inlineStr">
        <is>
          <t>1개 (집 전체, 시간대 구분 계량)</t>
        </is>
      </c>
      <c r="F51" s="96" t="inlineStr">
        <is>
          <t>누진 자체를 버리고 피함</t>
        </is>
      </c>
      <c r="G51" s="96" t="inlineStr">
        <is>
          <t>A2 별표12·제48조의5 / 확정</t>
        </is>
      </c>
      <c r="H51" s="96" t="inlineStr">
        <is>
          <t>제주: 주거용 전 가구 (2021.9.1~) / 육지: 인증 지열·공기열 설비 설치 주거용만 (2026.4.1~) — 일반 EHP·시스템에어컨 등 미인증 히트펌프는 해당 없음, ②와 동시 불가</t>
        </is>
      </c>
    </row>
    <row r="52" ht="48" customHeight="1" s="42">
      <c r="A52" s="97" t="inlineStr">
        <is>
          <t>핵심 차이 세 가지 — 1. 계량기: ②만 계량기 2개(집·히트펌프 따로), ①③은 계량기 1개로 집 전체를 한 방식으로. 2. 누진을 피하는 방법: ②는 "히트펌프를 누진 밖으로 빼서", ③은 "누진 자체를 버리고" 피함. ①은 안 피함. 3. ②와 ③은 동시에 못 함: ②로 히트펌프를 일반용에 넣은 집은 ③ 계시별 가입 자격이 없음(세칙 제48조의5 ①2 단서).</t>
        </is>
      </c>
    </row>
    <row r="53" ht="96" customHeight="1" s="42">
      <c r="A53" s="97" t="inlineStr">
        <is>
          <t>육지 vs 제주 — 차이는 ③의 문턱뿐. 제주는 주거용이면 누구나 ③ 가능(2021.9.1~). 육지는 "히트펌프 설치 가구"가 아니라 다음 셋을 모두 충족한 가구만 ③ 가능(2026.4.1~): ⓐ 열원이 지열 또는 공기열(수열·가스 히트펌프는 약관 문구에 없음) ⓑ 신재생에너지법 제13조 인증 제품 — 공기열은 인증심사기준이 아직 없어 기후부가 전문가위원회 검토를 거쳐 난방 전기화 보조금 지원대상으로 선정·공지한 제품만 인증 간주(약관 부칙 2026.3.16) ⓒ 주거용이고 그 설비에 ② 일반용 별도 적용을 하지 않은 상태. 인증 없는 일반 EHP·시스템에어컨으로 난방하는 집은 기술적으로 히트펌프여도 육지에서는 자격 없음. HEMS 자격 판정은 "히트펌프 보유 true/false"가 아니라 제품 인증(또는 기후부 선정·공지) 증빙 + 주거용 + 분리계약 없음 3개를 봐야 함. HEMS 관점: ①은 "얼마나"만, ③은 "언제"까지 조절 가능 → 스케줄링 가치는 ③이 가장 큼. ②는 계량기 공사비가 들지만 시간 조절 없이도 확실히 싸지는 안전한 선택.</t>
        </is>
      </c>
    </row>
  </sheetData>
  <mergeCells count="9">
    <mergeCell ref="A4:H4"/>
    <mergeCell ref="A30:H30"/>
    <mergeCell ref="A53:H53"/>
    <mergeCell ref="A38:H38"/>
    <mergeCell ref="A16:H16"/>
    <mergeCell ref="A52:H52"/>
    <mergeCell ref="A47:H47"/>
    <mergeCell ref="A32:H32"/>
    <mergeCell ref="A40:H40"/>
  </mergeCells>
  <pageMargins left="0.75" right="0.75" top="1" bottom="1" header="0.5" footer="0.5"/>
</worksheet>
</file>

<file path=xl/worksheets/sheet4.xml><?xml version="1.0" encoding="utf-8"?>
<worksheet xmlns="http://schemas.openxmlformats.org/spreadsheetml/2006/main">
  <sheetPr filterMode="0">
    <outlinePr summaryBelow="1" summaryRight="1"/>
    <pageSetUpPr fitToPage="1"/>
  </sheetPr>
  <dimension ref="A1:AB17"/>
  <sheetViews>
    <sheetView showFormulas="0" showGridLines="1" showRowColHeaders="1" showZeros="1" rightToLeft="0" tabSelected="0" showOutlineSymbols="1" defaultGridColor="1"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30" customWidth="1" style="41" min="1" max="1"/>
    <col width="36" customWidth="1" style="41" min="2" max="2"/>
    <col width="5.2" customWidth="1" style="41" min="3" max="26"/>
    <col width="11" customWidth="1" style="41" min="27" max="27"/>
    <col width="10" customWidth="1" style="41" min="28" max="28"/>
  </cols>
  <sheetData>
    <row r="1" ht="21.6" customHeight="1" s="42">
      <c r="A1" s="43" t="inlineStr">
        <is>
          <t>계시별 시간대 구분 — 육지 vs 제주 (24시간)</t>
        </is>
      </c>
    </row>
    <row r="2" ht="15" customHeight="1" s="42">
      <c r="A2" s="44" t="inlineStr">
        <is>
          <t>초록=경부하 / 노랑=중간부하 / 빨강=최대부하 / 파랑=봄·가을 주말·공휴일 50% 할인 / 회색=근거 미확보</t>
        </is>
      </c>
    </row>
    <row r="3" ht="34" customHeight="1" s="42">
      <c r="A3" s="87" t="inlineStr">
        <is>
          <t>주의: 아래 육지 시간대는 계시별 요금제를 적용받는 계약종별에만 해당합니다. 일반 주택용 누진제·일반용(갑)Ⅰ·일반용(갑)Ⅱ 선택Ⅲ·Ⅳ·산업용(갑)Ⅰ·교육용(갑)·농사용·가로등에는 적용되지 않습니다. HEMS는 지역 + 계약종별 + 선택요금제를 함께 확인한 뒤 시간대를 적용할 것.</t>
        </is>
      </c>
    </row>
    <row r="4" ht="30" customHeight="1" s="42">
      <c r="A4" s="47" t="inlineStr">
        <is>
          <t>구분</t>
        </is>
      </c>
      <c r="B4" s="47" t="inlineStr">
        <is>
          <t>적용 기간·대상</t>
        </is>
      </c>
      <c r="C4" s="48" t="inlineStr">
        <is>
          <t>00</t>
        </is>
      </c>
      <c r="D4" s="48" t="inlineStr">
        <is>
          <t>01</t>
        </is>
      </c>
      <c r="E4" s="48" t="inlineStr">
        <is>
          <t>02</t>
        </is>
      </c>
      <c r="F4" s="48" t="inlineStr">
        <is>
          <t>03</t>
        </is>
      </c>
      <c r="G4" s="48" t="inlineStr">
        <is>
          <t>04</t>
        </is>
      </c>
      <c r="H4" s="48" t="inlineStr">
        <is>
          <t>05</t>
        </is>
      </c>
      <c r="I4" s="48" t="inlineStr">
        <is>
          <t>06</t>
        </is>
      </c>
      <c r="J4" s="48" t="inlineStr">
        <is>
          <t>07</t>
        </is>
      </c>
      <c r="K4" s="48" t="inlineStr">
        <is>
          <t>08</t>
        </is>
      </c>
      <c r="L4" s="48" t="inlineStr">
        <is>
          <t>09</t>
        </is>
      </c>
      <c r="M4" s="48" t="inlineStr">
        <is>
          <t>10</t>
        </is>
      </c>
      <c r="N4" s="48" t="inlineStr">
        <is>
          <t>11</t>
        </is>
      </c>
      <c r="O4" s="48" t="inlineStr">
        <is>
          <t>12</t>
        </is>
      </c>
      <c r="P4" s="48" t="inlineStr">
        <is>
          <t>13</t>
        </is>
      </c>
      <c r="Q4" s="48" t="inlineStr">
        <is>
          <t>14</t>
        </is>
      </c>
      <c r="R4" s="48" t="inlineStr">
        <is>
          <t>15</t>
        </is>
      </c>
      <c r="S4" s="48" t="inlineStr">
        <is>
          <t>16</t>
        </is>
      </c>
      <c r="T4" s="48" t="inlineStr">
        <is>
          <t>17</t>
        </is>
      </c>
      <c r="U4" s="48" t="inlineStr">
        <is>
          <t>18</t>
        </is>
      </c>
      <c r="V4" s="48" t="inlineStr">
        <is>
          <t>19</t>
        </is>
      </c>
      <c r="W4" s="48" t="inlineStr">
        <is>
          <t>20</t>
        </is>
      </c>
      <c r="X4" s="48" t="inlineStr">
        <is>
          <t>21</t>
        </is>
      </c>
      <c r="Y4" s="48" t="inlineStr">
        <is>
          <t>22</t>
        </is>
      </c>
      <c r="Z4" s="48" t="inlineStr">
        <is>
          <t>23</t>
        </is>
      </c>
      <c r="AA4" s="47" t="inlineStr">
        <is>
          <t>근거</t>
        </is>
      </c>
      <c r="AB4" s="47" t="inlineStr">
        <is>
          <t>상태</t>
        </is>
      </c>
    </row>
    <row r="5" ht="48" customHeight="1" s="42">
      <c r="A5" s="88" t="inlineStr">
        <is>
          <t>육지 계시별 적용 종별 (개편 전) — 여름·봄·가을</t>
        </is>
      </c>
      <c r="B5" s="89" t="inlineStr">
        <is>
          <t>~2026.4.15 (일반·교육용 등은 ~5.31). 산업용(을) 유예 신청 고객은 ~2026.9.30까지 이 시간표 유지. 주택용 누진제는 제외</t>
        </is>
      </c>
      <c r="C5" s="56" t="inlineStr">
        <is>
          <t>경</t>
        </is>
      </c>
      <c r="D5" s="56" t="inlineStr">
        <is>
          <t>경</t>
        </is>
      </c>
      <c r="E5" s="56" t="inlineStr">
        <is>
          <t>경</t>
        </is>
      </c>
      <c r="F5" s="56" t="inlineStr">
        <is>
          <t>경</t>
        </is>
      </c>
      <c r="G5" s="56" t="inlineStr">
        <is>
          <t>경</t>
        </is>
      </c>
      <c r="H5" s="56" t="inlineStr">
        <is>
          <t>경</t>
        </is>
      </c>
      <c r="I5" s="56" t="inlineStr">
        <is>
          <t>경</t>
        </is>
      </c>
      <c r="J5" s="56" t="inlineStr">
        <is>
          <t>경</t>
        </is>
      </c>
      <c r="K5" s="57" t="inlineStr">
        <is>
          <t>중</t>
        </is>
      </c>
      <c r="L5" s="57" t="inlineStr">
        <is>
          <t>중</t>
        </is>
      </c>
      <c r="M5" s="57" t="inlineStr">
        <is>
          <t>중</t>
        </is>
      </c>
      <c r="N5" s="52" t="inlineStr">
        <is>
          <t>최</t>
        </is>
      </c>
      <c r="O5" s="57" t="inlineStr">
        <is>
          <t>중</t>
        </is>
      </c>
      <c r="P5" s="52" t="inlineStr">
        <is>
          <t>최</t>
        </is>
      </c>
      <c r="Q5" s="52" t="inlineStr">
        <is>
          <t>최</t>
        </is>
      </c>
      <c r="R5" s="52" t="inlineStr">
        <is>
          <t>최</t>
        </is>
      </c>
      <c r="S5" s="52" t="inlineStr">
        <is>
          <t>최</t>
        </is>
      </c>
      <c r="T5" s="52" t="inlineStr">
        <is>
          <t>최</t>
        </is>
      </c>
      <c r="U5" s="57" t="inlineStr">
        <is>
          <t>중</t>
        </is>
      </c>
      <c r="V5" s="57" t="inlineStr">
        <is>
          <t>중</t>
        </is>
      </c>
      <c r="W5" s="57" t="inlineStr">
        <is>
          <t>중</t>
        </is>
      </c>
      <c r="X5" s="57" t="inlineStr">
        <is>
          <t>중</t>
        </is>
      </c>
      <c r="Y5" s="56" t="inlineStr">
        <is>
          <t>경</t>
        </is>
      </c>
      <c r="Z5" s="56" t="inlineStr">
        <is>
          <t>경</t>
        </is>
      </c>
      <c r="AA5" s="82" t="inlineStr">
        <is>
          <t>S13·S06</t>
        </is>
      </c>
      <c r="AB5" s="50" t="inlineStr">
        <is>
          <t>확정</t>
        </is>
      </c>
    </row>
    <row r="6" ht="48" customHeight="1" s="42">
      <c r="A6" s="88" t="inlineStr">
        <is>
          <t>육지 계시별 적용 종별 (개편 전) — 겨울</t>
        </is>
      </c>
      <c r="B6" s="89" t="inlineStr">
        <is>
          <t>~2026.4.15 (일반·교육용 등은 ~5.31). 산업용(을) 유예 고객 ~9.30. 주택용 누진제는 제외</t>
        </is>
      </c>
      <c r="C6" s="56" t="inlineStr">
        <is>
          <t>경</t>
        </is>
      </c>
      <c r="D6" s="56" t="inlineStr">
        <is>
          <t>경</t>
        </is>
      </c>
      <c r="E6" s="56" t="inlineStr">
        <is>
          <t>경</t>
        </is>
      </c>
      <c r="F6" s="56" t="inlineStr">
        <is>
          <t>경</t>
        </is>
      </c>
      <c r="G6" s="56" t="inlineStr">
        <is>
          <t>경</t>
        </is>
      </c>
      <c r="H6" s="56" t="inlineStr">
        <is>
          <t>경</t>
        </is>
      </c>
      <c r="I6" s="56" t="inlineStr">
        <is>
          <t>경</t>
        </is>
      </c>
      <c r="J6" s="56" t="inlineStr">
        <is>
          <t>경</t>
        </is>
      </c>
      <c r="K6" s="57" t="inlineStr">
        <is>
          <t>중</t>
        </is>
      </c>
      <c r="L6" s="52" t="inlineStr">
        <is>
          <t>최</t>
        </is>
      </c>
      <c r="M6" s="52" t="inlineStr">
        <is>
          <t>최</t>
        </is>
      </c>
      <c r="N6" s="52" t="inlineStr">
        <is>
          <t>최</t>
        </is>
      </c>
      <c r="O6" s="57" t="inlineStr">
        <is>
          <t>중</t>
        </is>
      </c>
      <c r="P6" s="57" t="inlineStr">
        <is>
          <t>중</t>
        </is>
      </c>
      <c r="Q6" s="57" t="inlineStr">
        <is>
          <t>중</t>
        </is>
      </c>
      <c r="R6" s="57" t="inlineStr">
        <is>
          <t>중</t>
        </is>
      </c>
      <c r="S6" s="52" t="inlineStr">
        <is>
          <t>최</t>
        </is>
      </c>
      <c r="T6" s="52" t="inlineStr">
        <is>
          <t>최</t>
        </is>
      </c>
      <c r="U6" s="52" t="inlineStr">
        <is>
          <t>최</t>
        </is>
      </c>
      <c r="V6" s="57" t="inlineStr">
        <is>
          <t>중</t>
        </is>
      </c>
      <c r="W6" s="57" t="inlineStr">
        <is>
          <t>중</t>
        </is>
      </c>
      <c r="X6" s="57" t="inlineStr">
        <is>
          <t>중</t>
        </is>
      </c>
      <c r="Y6" s="56" t="inlineStr">
        <is>
          <t>경</t>
        </is>
      </c>
      <c r="Z6" s="56" t="inlineStr">
        <is>
          <t>경</t>
        </is>
      </c>
      <c r="AA6" s="82" t="inlineStr">
        <is>
          <t>S13</t>
        </is>
      </c>
      <c r="AB6" s="50" t="inlineStr">
        <is>
          <t>확정</t>
        </is>
      </c>
    </row>
    <row r="7" ht="66" customHeight="1" s="42">
      <c r="A7" s="88" t="inlineStr">
        <is>
          <t>육지 계시별 적용 종별 — 평일 여름</t>
        </is>
      </c>
      <c r="B7" s="89" t="inlineStr">
        <is>
          <t>적용 종별: 산업용(을)·전기자동차 충전전력 2026.4.16~ / 일반용(갑)Ⅱ 선택Ⅰ·Ⅱ, 일반용(을), 산업용(갑)Ⅱ, 교육용(을) 2026.6.1~ / 주택용 계시별 선택요금 가입자(육지는 인증 지열·공기열 설치 주거용만). 제외: 일반 주택용 누진제, 일반용(갑)Ⅰ, 일반용(갑)Ⅱ 선택Ⅲ·Ⅳ(계절별 단일), 산업용(갑)Ⅰ, 교육용(갑), 농사용·가로등</t>
        </is>
      </c>
      <c r="C7" s="56" t="inlineStr">
        <is>
          <t>경</t>
        </is>
      </c>
      <c r="D7" s="56" t="inlineStr">
        <is>
          <t>경</t>
        </is>
      </c>
      <c r="E7" s="56" t="inlineStr">
        <is>
          <t>경</t>
        </is>
      </c>
      <c r="F7" s="56" t="inlineStr">
        <is>
          <t>경</t>
        </is>
      </c>
      <c r="G7" s="56" t="inlineStr">
        <is>
          <t>경</t>
        </is>
      </c>
      <c r="H7" s="56" t="inlineStr">
        <is>
          <t>경</t>
        </is>
      </c>
      <c r="I7" s="56" t="inlineStr">
        <is>
          <t>경</t>
        </is>
      </c>
      <c r="J7" s="56" t="inlineStr">
        <is>
          <t>경</t>
        </is>
      </c>
      <c r="K7" s="57" t="inlineStr">
        <is>
          <t>중</t>
        </is>
      </c>
      <c r="L7" s="57" t="inlineStr">
        <is>
          <t>중</t>
        </is>
      </c>
      <c r="M7" s="57" t="inlineStr">
        <is>
          <t>중</t>
        </is>
      </c>
      <c r="N7" s="57" t="inlineStr">
        <is>
          <t>중</t>
        </is>
      </c>
      <c r="O7" s="57" t="inlineStr">
        <is>
          <t>중</t>
        </is>
      </c>
      <c r="P7" s="57" t="inlineStr">
        <is>
          <t>중</t>
        </is>
      </c>
      <c r="Q7" s="57" t="inlineStr">
        <is>
          <t>중</t>
        </is>
      </c>
      <c r="R7" s="52" t="inlineStr">
        <is>
          <t>최</t>
        </is>
      </c>
      <c r="S7" s="52" t="inlineStr">
        <is>
          <t>최</t>
        </is>
      </c>
      <c r="T7" s="52" t="inlineStr">
        <is>
          <t>최</t>
        </is>
      </c>
      <c r="U7" s="52" t="inlineStr">
        <is>
          <t>최</t>
        </is>
      </c>
      <c r="V7" s="52" t="inlineStr">
        <is>
          <t>최</t>
        </is>
      </c>
      <c r="W7" s="52" t="inlineStr">
        <is>
          <t>최</t>
        </is>
      </c>
      <c r="X7" s="57" t="inlineStr">
        <is>
          <t>중</t>
        </is>
      </c>
      <c r="Y7" s="56" t="inlineStr">
        <is>
          <t>경</t>
        </is>
      </c>
      <c r="Z7" s="56" t="inlineStr">
        <is>
          <t>경</t>
        </is>
      </c>
      <c r="AA7" s="82" t="inlineStr">
        <is>
          <t>A1 별표3</t>
        </is>
      </c>
      <c r="AB7" s="50" t="inlineStr">
        <is>
          <t>확정</t>
        </is>
      </c>
    </row>
    <row r="8" ht="66" customHeight="1" s="42">
      <c r="A8" s="88" t="inlineStr">
        <is>
          <t>육지 계시별 적용 종별 — 평일 봄·가을</t>
        </is>
      </c>
      <c r="B8" s="89" t="inlineStr">
        <is>
          <t>적용 종별: 산업용(을)·전기자동차 충전전력 2026.4.16~ / 일반용(갑)Ⅱ 선택Ⅰ·Ⅱ, 일반용(을), 산업용(갑)Ⅱ, 교육용(을) 2026.6.1~ / 주택용 계시별 선택요금 가입자(육지는 인증 지열·공기열 설치 주거용만). 제외: 일반 주택용 누진제, 일반용(갑)Ⅰ, 일반용(갑)Ⅱ 선택Ⅲ·Ⅳ(계절별 단일), 산업용(갑)Ⅰ, 교육용(갑), 농사용·가로등</t>
        </is>
      </c>
      <c r="C8" s="56" t="inlineStr">
        <is>
          <t>경</t>
        </is>
      </c>
      <c r="D8" s="56" t="inlineStr">
        <is>
          <t>경</t>
        </is>
      </c>
      <c r="E8" s="56" t="inlineStr">
        <is>
          <t>경</t>
        </is>
      </c>
      <c r="F8" s="56" t="inlineStr">
        <is>
          <t>경</t>
        </is>
      </c>
      <c r="G8" s="56" t="inlineStr">
        <is>
          <t>경</t>
        </is>
      </c>
      <c r="H8" s="56" t="inlineStr">
        <is>
          <t>경</t>
        </is>
      </c>
      <c r="I8" s="56" t="inlineStr">
        <is>
          <t>경</t>
        </is>
      </c>
      <c r="J8" s="56" t="inlineStr">
        <is>
          <t>경</t>
        </is>
      </c>
      <c r="K8" s="57" t="inlineStr">
        <is>
          <t>중</t>
        </is>
      </c>
      <c r="L8" s="57" t="inlineStr">
        <is>
          <t>중</t>
        </is>
      </c>
      <c r="M8" s="57" t="inlineStr">
        <is>
          <t>중</t>
        </is>
      </c>
      <c r="N8" s="57" t="inlineStr">
        <is>
          <t>중</t>
        </is>
      </c>
      <c r="O8" s="57" t="inlineStr">
        <is>
          <t>중</t>
        </is>
      </c>
      <c r="P8" s="57" t="inlineStr">
        <is>
          <t>중</t>
        </is>
      </c>
      <c r="Q8" s="57" t="inlineStr">
        <is>
          <t>중</t>
        </is>
      </c>
      <c r="R8" s="52" t="inlineStr">
        <is>
          <t>최</t>
        </is>
      </c>
      <c r="S8" s="52" t="inlineStr">
        <is>
          <t>최</t>
        </is>
      </c>
      <c r="T8" s="52" t="inlineStr">
        <is>
          <t>최</t>
        </is>
      </c>
      <c r="U8" s="52" t="inlineStr">
        <is>
          <t>최</t>
        </is>
      </c>
      <c r="V8" s="52" t="inlineStr">
        <is>
          <t>최</t>
        </is>
      </c>
      <c r="W8" s="52" t="inlineStr">
        <is>
          <t>최</t>
        </is>
      </c>
      <c r="X8" s="57" t="inlineStr">
        <is>
          <t>중</t>
        </is>
      </c>
      <c r="Y8" s="56" t="inlineStr">
        <is>
          <t>경</t>
        </is>
      </c>
      <c r="Z8" s="56" t="inlineStr">
        <is>
          <t>경</t>
        </is>
      </c>
      <c r="AA8" s="82" t="inlineStr">
        <is>
          <t>A1 별표3</t>
        </is>
      </c>
      <c r="AB8" s="50" t="inlineStr">
        <is>
          <t>확정</t>
        </is>
      </c>
    </row>
    <row r="9" ht="66" customHeight="1" s="42">
      <c r="A9" s="88" t="inlineStr">
        <is>
          <t>육지 계시별 적용 종별 — 평일 겨울</t>
        </is>
      </c>
      <c r="B9" s="89" t="inlineStr">
        <is>
          <t>적용 종별: 산업용(을)·전기자동차 충전전력 2026.4.16~ / 일반용(갑)Ⅱ 선택Ⅰ·Ⅱ, 일반용(을), 산업용(갑)Ⅱ, 교육용(을) 2026.6.1~ / 주택용 계시별 선택요금 가입자(육지는 인증 지열·공기열 설치 주거용만). 제외: 일반 주택용 누진제, 일반용(갑)Ⅰ, 일반용(갑)Ⅱ 선택Ⅲ·Ⅳ(계절별 단일), 산업용(갑)Ⅰ, 교육용(갑), 농사용·가로등 (겨울 시간대는 개편 전과 동일)</t>
        </is>
      </c>
      <c r="C9" s="56" t="inlineStr">
        <is>
          <t>경</t>
        </is>
      </c>
      <c r="D9" s="56" t="inlineStr">
        <is>
          <t>경</t>
        </is>
      </c>
      <c r="E9" s="56" t="inlineStr">
        <is>
          <t>경</t>
        </is>
      </c>
      <c r="F9" s="56" t="inlineStr">
        <is>
          <t>경</t>
        </is>
      </c>
      <c r="G9" s="56" t="inlineStr">
        <is>
          <t>경</t>
        </is>
      </c>
      <c r="H9" s="56" t="inlineStr">
        <is>
          <t>경</t>
        </is>
      </c>
      <c r="I9" s="56" t="inlineStr">
        <is>
          <t>경</t>
        </is>
      </c>
      <c r="J9" s="56" t="inlineStr">
        <is>
          <t>경</t>
        </is>
      </c>
      <c r="K9" s="57" t="inlineStr">
        <is>
          <t>중</t>
        </is>
      </c>
      <c r="L9" s="52" t="inlineStr">
        <is>
          <t>최</t>
        </is>
      </c>
      <c r="M9" s="52" t="inlineStr">
        <is>
          <t>최</t>
        </is>
      </c>
      <c r="N9" s="52" t="inlineStr">
        <is>
          <t>최</t>
        </is>
      </c>
      <c r="O9" s="57" t="inlineStr">
        <is>
          <t>중</t>
        </is>
      </c>
      <c r="P9" s="57" t="inlineStr">
        <is>
          <t>중</t>
        </is>
      </c>
      <c r="Q9" s="57" t="inlineStr">
        <is>
          <t>중</t>
        </is>
      </c>
      <c r="R9" s="57" t="inlineStr">
        <is>
          <t>중</t>
        </is>
      </c>
      <c r="S9" s="52" t="inlineStr">
        <is>
          <t>최</t>
        </is>
      </c>
      <c r="T9" s="52" t="inlineStr">
        <is>
          <t>최</t>
        </is>
      </c>
      <c r="U9" s="52" t="inlineStr">
        <is>
          <t>최</t>
        </is>
      </c>
      <c r="V9" s="57" t="inlineStr">
        <is>
          <t>중</t>
        </is>
      </c>
      <c r="W9" s="57" t="inlineStr">
        <is>
          <t>중</t>
        </is>
      </c>
      <c r="X9" s="57" t="inlineStr">
        <is>
          <t>중</t>
        </is>
      </c>
      <c r="Y9" s="56" t="inlineStr">
        <is>
          <t>경</t>
        </is>
      </c>
      <c r="Z9" s="56" t="inlineStr">
        <is>
          <t>경</t>
        </is>
      </c>
      <c r="AA9" s="82" t="inlineStr">
        <is>
          <t>A1 별표3</t>
        </is>
      </c>
      <c r="AB9" s="50" t="inlineStr">
        <is>
          <t>확정</t>
        </is>
      </c>
    </row>
    <row r="10" ht="48" customHeight="1" s="42">
      <c r="A10" s="88" t="inlineStr">
        <is>
          <t>육지 계시별 적용 종별 — 토요일 (공휴일 아닌)</t>
        </is>
      </c>
      <c r="B10" s="88" t="inlineStr">
        <is>
          <t>위 계시별 적용 종별에 한함. 최대부하시간대 사용량을 중간부하로 계량 → 실질 최대부하 없음. 주택용 누진제는 제외</t>
        </is>
      </c>
      <c r="C10" s="56" t="inlineStr">
        <is>
          <t>경</t>
        </is>
      </c>
      <c r="D10" s="56" t="inlineStr">
        <is>
          <t>경</t>
        </is>
      </c>
      <c r="E10" s="56" t="inlineStr">
        <is>
          <t>경</t>
        </is>
      </c>
      <c r="F10" s="56" t="inlineStr">
        <is>
          <t>경</t>
        </is>
      </c>
      <c r="G10" s="56" t="inlineStr">
        <is>
          <t>경</t>
        </is>
      </c>
      <c r="H10" s="56" t="inlineStr">
        <is>
          <t>경</t>
        </is>
      </c>
      <c r="I10" s="56" t="inlineStr">
        <is>
          <t>경</t>
        </is>
      </c>
      <c r="J10" s="56" t="inlineStr">
        <is>
          <t>경</t>
        </is>
      </c>
      <c r="K10" s="57" t="inlineStr">
        <is>
          <t>중</t>
        </is>
      </c>
      <c r="L10" s="57" t="inlineStr">
        <is>
          <t>중</t>
        </is>
      </c>
      <c r="M10" s="57" t="inlineStr">
        <is>
          <t>중</t>
        </is>
      </c>
      <c r="N10" s="57" t="inlineStr">
        <is>
          <t>중</t>
        </is>
      </c>
      <c r="O10" s="57" t="inlineStr">
        <is>
          <t>중</t>
        </is>
      </c>
      <c r="P10" s="57" t="inlineStr">
        <is>
          <t>중</t>
        </is>
      </c>
      <c r="Q10" s="57" t="inlineStr">
        <is>
          <t>중</t>
        </is>
      </c>
      <c r="R10" s="57" t="inlineStr">
        <is>
          <t>중</t>
        </is>
      </c>
      <c r="S10" s="57" t="inlineStr">
        <is>
          <t>중</t>
        </is>
      </c>
      <c r="T10" s="57" t="inlineStr">
        <is>
          <t>중</t>
        </is>
      </c>
      <c r="U10" s="57" t="inlineStr">
        <is>
          <t>중</t>
        </is>
      </c>
      <c r="V10" s="57" t="inlineStr">
        <is>
          <t>중</t>
        </is>
      </c>
      <c r="W10" s="57" t="inlineStr">
        <is>
          <t>중</t>
        </is>
      </c>
      <c r="X10" s="57" t="inlineStr">
        <is>
          <t>중</t>
        </is>
      </c>
      <c r="Y10" s="56" t="inlineStr">
        <is>
          <t>경</t>
        </is>
      </c>
      <c r="Z10" s="56" t="inlineStr">
        <is>
          <t>경</t>
        </is>
      </c>
      <c r="AA10" s="82" t="inlineStr">
        <is>
          <t>A1 별표3 단서1</t>
        </is>
      </c>
      <c r="AB10" s="50" t="inlineStr">
        <is>
          <t>확정</t>
        </is>
      </c>
    </row>
    <row r="11" ht="48" customHeight="1" s="42">
      <c r="A11" s="88" t="inlineStr">
        <is>
          <t>육지 계시별 적용 종별 — 공휴일</t>
        </is>
      </c>
      <c r="B11" s="88" t="inlineStr">
        <is>
          <t>위 계시별 적용 종별에 한함. 전 시간대를 경부하로 계량 (임시공휴일 제외). 주택용 누진제는 제외</t>
        </is>
      </c>
      <c r="C11" s="56" t="inlineStr">
        <is>
          <t>경</t>
        </is>
      </c>
      <c r="D11" s="56" t="inlineStr">
        <is>
          <t>경</t>
        </is>
      </c>
      <c r="E11" s="56" t="inlineStr">
        <is>
          <t>경</t>
        </is>
      </c>
      <c r="F11" s="56" t="inlineStr">
        <is>
          <t>경</t>
        </is>
      </c>
      <c r="G11" s="56" t="inlineStr">
        <is>
          <t>경</t>
        </is>
      </c>
      <c r="H11" s="56" t="inlineStr">
        <is>
          <t>경</t>
        </is>
      </c>
      <c r="I11" s="56" t="inlineStr">
        <is>
          <t>경</t>
        </is>
      </c>
      <c r="J11" s="56" t="inlineStr">
        <is>
          <t>경</t>
        </is>
      </c>
      <c r="K11" s="56" t="inlineStr">
        <is>
          <t>경</t>
        </is>
      </c>
      <c r="L11" s="56" t="inlineStr">
        <is>
          <t>경</t>
        </is>
      </c>
      <c r="M11" s="56" t="inlineStr">
        <is>
          <t>경</t>
        </is>
      </c>
      <c r="N11" s="56" t="inlineStr">
        <is>
          <t>경</t>
        </is>
      </c>
      <c r="O11" s="56" t="inlineStr">
        <is>
          <t>경</t>
        </is>
      </c>
      <c r="P11" s="56" t="inlineStr">
        <is>
          <t>경</t>
        </is>
      </c>
      <c r="Q11" s="56" t="inlineStr">
        <is>
          <t>경</t>
        </is>
      </c>
      <c r="R11" s="56" t="inlineStr">
        <is>
          <t>경</t>
        </is>
      </c>
      <c r="S11" s="56" t="inlineStr">
        <is>
          <t>경</t>
        </is>
      </c>
      <c r="T11" s="56" t="inlineStr">
        <is>
          <t>경</t>
        </is>
      </c>
      <c r="U11" s="56" t="inlineStr">
        <is>
          <t>경</t>
        </is>
      </c>
      <c r="V11" s="56" t="inlineStr">
        <is>
          <t>경</t>
        </is>
      </c>
      <c r="W11" s="56" t="inlineStr">
        <is>
          <t>경</t>
        </is>
      </c>
      <c r="X11" s="56" t="inlineStr">
        <is>
          <t>경</t>
        </is>
      </c>
      <c r="Y11" s="56" t="inlineStr">
        <is>
          <t>경</t>
        </is>
      </c>
      <c r="Z11" s="56" t="inlineStr">
        <is>
          <t>경</t>
        </is>
      </c>
      <c r="AA11" s="82" t="inlineStr">
        <is>
          <t>A1 별표3 단서1·3</t>
        </is>
      </c>
      <c r="AB11" s="50" t="inlineStr">
        <is>
          <t>확정</t>
        </is>
      </c>
    </row>
    <row r="12" ht="48" customHeight="1" s="42">
      <c r="A12" s="88" t="inlineStr">
        <is>
          <t>제주 계시별 적용 종별 — 전 계절, 평일</t>
        </is>
      </c>
      <c r="B12" s="89" t="inlineStr">
        <is>
          <t>2021.9.1~ 현행 유지. 계시별 전 종별 + 주택용 계시별 선택요금 가입자(제주는 주거용 전 가구 신청 가능). 주택용 누진제·계절별 단일요금 종별은 제외. 토요일·공휴일 계량 특례는 육지와 동일</t>
        </is>
      </c>
      <c r="C12" s="56" t="inlineStr">
        <is>
          <t>경</t>
        </is>
      </c>
      <c r="D12" s="56" t="inlineStr">
        <is>
          <t>경</t>
        </is>
      </c>
      <c r="E12" s="56" t="inlineStr">
        <is>
          <t>경</t>
        </is>
      </c>
      <c r="F12" s="56" t="inlineStr">
        <is>
          <t>경</t>
        </is>
      </c>
      <c r="G12" s="56" t="inlineStr">
        <is>
          <t>경</t>
        </is>
      </c>
      <c r="H12" s="56" t="inlineStr">
        <is>
          <t>경</t>
        </is>
      </c>
      <c r="I12" s="56" t="inlineStr">
        <is>
          <t>경</t>
        </is>
      </c>
      <c r="J12" s="56" t="inlineStr">
        <is>
          <t>경</t>
        </is>
      </c>
      <c r="K12" s="57" t="inlineStr">
        <is>
          <t>중</t>
        </is>
      </c>
      <c r="L12" s="57" t="inlineStr">
        <is>
          <t>중</t>
        </is>
      </c>
      <c r="M12" s="57" t="inlineStr">
        <is>
          <t>중</t>
        </is>
      </c>
      <c r="N12" s="57" t="inlineStr">
        <is>
          <t>중</t>
        </is>
      </c>
      <c r="O12" s="57" t="inlineStr">
        <is>
          <t>중</t>
        </is>
      </c>
      <c r="P12" s="57" t="inlineStr">
        <is>
          <t>중</t>
        </is>
      </c>
      <c r="Q12" s="57" t="inlineStr">
        <is>
          <t>중</t>
        </is>
      </c>
      <c r="R12" s="57" t="inlineStr">
        <is>
          <t>중</t>
        </is>
      </c>
      <c r="S12" s="52" t="inlineStr">
        <is>
          <t>최</t>
        </is>
      </c>
      <c r="T12" s="52" t="inlineStr">
        <is>
          <t>최</t>
        </is>
      </c>
      <c r="U12" s="52" t="inlineStr">
        <is>
          <t>최</t>
        </is>
      </c>
      <c r="V12" s="52" t="inlineStr">
        <is>
          <t>최</t>
        </is>
      </c>
      <c r="W12" s="52" t="inlineStr">
        <is>
          <t>최</t>
        </is>
      </c>
      <c r="X12" s="52" t="inlineStr">
        <is>
          <t>최</t>
        </is>
      </c>
      <c r="Y12" s="56" t="inlineStr">
        <is>
          <t>경</t>
        </is>
      </c>
      <c r="Z12" s="56" t="inlineStr">
        <is>
          <t>경</t>
        </is>
      </c>
      <c r="AA12" s="82" t="inlineStr">
        <is>
          <t>A1 별표3 단서4</t>
        </is>
      </c>
      <c r="AB12" s="50" t="inlineStr">
        <is>
          <t>확정</t>
        </is>
      </c>
    </row>
    <row r="13" ht="36" customHeight="1" s="42">
      <c r="A13" s="83" t="inlineStr">
        <is>
          <t>봄·가을 토요일 주말 할인요금 — 산업용(을)·EV 충전전력만</t>
        </is>
      </c>
      <c r="B13" s="84" t="inlineStr">
        <is>
          <t>2026.4.16~2030.12.31, 11~14시 전력량요금 50% 할인. 대상: 산업용(을)·전기자동차 충전전력(세칙 제48조의7). 육지·제주 공통, 유예 산업용(을) 제외</t>
        </is>
      </c>
      <c r="C13" s="58" t="inlineStr">
        <is>
          <t>-</t>
        </is>
      </c>
      <c r="D13" s="58" t="inlineStr">
        <is>
          <t>-</t>
        </is>
      </c>
      <c r="E13" s="58" t="inlineStr">
        <is>
          <t>-</t>
        </is>
      </c>
      <c r="F13" s="58" t="inlineStr">
        <is>
          <t>-</t>
        </is>
      </c>
      <c r="G13" s="58" t="inlineStr">
        <is>
          <t>-</t>
        </is>
      </c>
      <c r="H13" s="58" t="inlineStr">
        <is>
          <t>-</t>
        </is>
      </c>
      <c r="I13" s="58" t="inlineStr">
        <is>
          <t>-</t>
        </is>
      </c>
      <c r="J13" s="58" t="inlineStr">
        <is>
          <t>-</t>
        </is>
      </c>
      <c r="K13" s="58" t="inlineStr">
        <is>
          <t>-</t>
        </is>
      </c>
      <c r="L13" s="58" t="inlineStr">
        <is>
          <t>-</t>
        </is>
      </c>
      <c r="M13" s="58" t="inlineStr">
        <is>
          <t>-</t>
        </is>
      </c>
      <c r="N13" s="59" t="inlineStr">
        <is>
          <t>중50%</t>
        </is>
      </c>
      <c r="O13" s="59" t="inlineStr">
        <is>
          <t>중50%</t>
        </is>
      </c>
      <c r="P13" s="59" t="inlineStr">
        <is>
          <t>중50%</t>
        </is>
      </c>
      <c r="Q13" s="58" t="inlineStr">
        <is>
          <t>-</t>
        </is>
      </c>
      <c r="R13" s="58" t="inlineStr">
        <is>
          <t>-</t>
        </is>
      </c>
      <c r="S13" s="58" t="inlineStr">
        <is>
          <t>-</t>
        </is>
      </c>
      <c r="T13" s="58" t="inlineStr">
        <is>
          <t>-</t>
        </is>
      </c>
      <c r="U13" s="58" t="inlineStr">
        <is>
          <t>-</t>
        </is>
      </c>
      <c r="V13" s="58" t="inlineStr">
        <is>
          <t>-</t>
        </is>
      </c>
      <c r="W13" s="58" t="inlineStr">
        <is>
          <t>-</t>
        </is>
      </c>
      <c r="X13" s="58" t="inlineStr">
        <is>
          <t>-</t>
        </is>
      </c>
      <c r="Y13" s="58" t="inlineStr">
        <is>
          <t>-</t>
        </is>
      </c>
      <c r="Z13" s="58" t="inlineStr">
        <is>
          <t>-</t>
        </is>
      </c>
      <c r="AA13" s="82" t="inlineStr">
        <is>
          <t>A2 제48조의7·S03</t>
        </is>
      </c>
      <c r="AB13" s="50" t="inlineStr">
        <is>
          <t>확정</t>
        </is>
      </c>
    </row>
    <row r="14" ht="36" customHeight="1" s="42">
      <c r="A14" s="83" t="inlineStr">
        <is>
          <t>봄·가을 일요일·공휴일 주말 할인요금 — 산업용(을)·EV 충전전력만</t>
        </is>
      </c>
      <c r="B14" s="84" t="inlineStr">
        <is>
          <t>2026.4.16~2030.12.31, 11~14시 전력량요금 50% 할인. 대상: 산업용(을)·전기자동차 충전전력(세칙 제48조의7). 육지·제주 공통, 유예 산업용(을) 제외</t>
        </is>
      </c>
      <c r="C14" s="58" t="inlineStr">
        <is>
          <t>-</t>
        </is>
      </c>
      <c r="D14" s="58" t="inlineStr">
        <is>
          <t>-</t>
        </is>
      </c>
      <c r="E14" s="58" t="inlineStr">
        <is>
          <t>-</t>
        </is>
      </c>
      <c r="F14" s="58" t="inlineStr">
        <is>
          <t>-</t>
        </is>
      </c>
      <c r="G14" s="58" t="inlineStr">
        <is>
          <t>-</t>
        </is>
      </c>
      <c r="H14" s="58" t="inlineStr">
        <is>
          <t>-</t>
        </is>
      </c>
      <c r="I14" s="58" t="inlineStr">
        <is>
          <t>-</t>
        </is>
      </c>
      <c r="J14" s="58" t="inlineStr">
        <is>
          <t>-</t>
        </is>
      </c>
      <c r="K14" s="58" t="inlineStr">
        <is>
          <t>-</t>
        </is>
      </c>
      <c r="L14" s="58" t="inlineStr">
        <is>
          <t>-</t>
        </is>
      </c>
      <c r="M14" s="58" t="inlineStr">
        <is>
          <t>-</t>
        </is>
      </c>
      <c r="N14" s="59" t="inlineStr">
        <is>
          <t>경50%</t>
        </is>
      </c>
      <c r="O14" s="59" t="inlineStr">
        <is>
          <t>경50%</t>
        </is>
      </c>
      <c r="P14" s="59" t="inlineStr">
        <is>
          <t>경50%</t>
        </is>
      </c>
      <c r="Q14" s="58" t="inlineStr">
        <is>
          <t>-</t>
        </is>
      </c>
      <c r="R14" s="58" t="inlineStr">
        <is>
          <t>-</t>
        </is>
      </c>
      <c r="S14" s="58" t="inlineStr">
        <is>
          <t>-</t>
        </is>
      </c>
      <c r="T14" s="58" t="inlineStr">
        <is>
          <t>-</t>
        </is>
      </c>
      <c r="U14" s="58" t="inlineStr">
        <is>
          <t>-</t>
        </is>
      </c>
      <c r="V14" s="58" t="inlineStr">
        <is>
          <t>-</t>
        </is>
      </c>
      <c r="W14" s="58" t="inlineStr">
        <is>
          <t>-</t>
        </is>
      </c>
      <c r="X14" s="58" t="inlineStr">
        <is>
          <t>-</t>
        </is>
      </c>
      <c r="Y14" s="58" t="inlineStr">
        <is>
          <t>-</t>
        </is>
      </c>
      <c r="Z14" s="58" t="inlineStr">
        <is>
          <t>-</t>
        </is>
      </c>
      <c r="AA14" s="82" t="inlineStr">
        <is>
          <t>A2 제48조의7·S03</t>
        </is>
      </c>
      <c r="AB14" s="50" t="inlineStr">
        <is>
          <t>확정</t>
        </is>
      </c>
    </row>
    <row r="16" ht="72" customHeight="1" s="42">
      <c r="A16" s="46" t="inlineStr">
        <is>
          <t>전부 한전 기본공급약관(2026.8.1) 별표3 원문 기준으로 확정. 읽는 법: 경=경부하(최저), 중=중간부하, 최=최대부하(최고). 핵심 3가지 — ① 개편 후 여름·봄·가을 평일은 최대부하가 15~21시로 통합, 중간부하는 08~15시와 21~22시. ② 겨울철은 개편 전과 동일(최대부하 09~12시·16~19시). ③ 제주는 개편과 무관하게 모든 계절 경부하 22~08, 중간 08~16, 최대 16~22 유지. ★ 이 표는 '지역'만으로 적용하면 안 된다. 계시별 시간대는 계시별 요금제를 적용받는 계약종별(일반용(갑)Ⅱ 선택Ⅰ·Ⅱ, 일반용(을), 산업용(갑)Ⅱ·(을), 교육용(을), EV 충전전력, 주택용 계시별 선택요금 가입자)에만 해당하며, 일반 주택용 누진제·계절별 단일요금 종별에는 시간대 개념 자체가 없다.</t>
        </is>
      </c>
    </row>
    <row r="17" ht="48" customHeight="1" s="42">
      <c r="A17" s="60" t="inlineStr">
        <is>
          <t>주말·공휴일 계량 특례(별표3 단서1): 공휴일은 최대수요전력과 사용전력량을 전 시간대 경부하로 계량하고, 공휴일이 아닌 토요일은 최대부하시간대 사용량을 중간부하로 계량한다. 여기서 '공휴일'은 관공서의 공휴일에 관한 규정상 공휴일이며 임시공휴일은 제외(단서3). 주말 할인요금(약관 제67조의7·세칙 제48조의7)은 이와 별개로 봄·가을 주말·공휴일 11~14시 전력량요금 50% 할인이며, 적용대상은 산업용(을)·전기자동차 충전전력 고객뿐이다(일반용·교육용·산업용(갑)Ⅱ·주택용 계시별은 해당 없음). 지역 제한 없음. 2030.12.31까지 효력, 3년마다 연장 검토.</t>
        </is>
      </c>
    </row>
  </sheetData>
  <mergeCells count="3">
    <mergeCell ref="A3:AB3"/>
    <mergeCell ref="A16:AB16"/>
    <mergeCell ref="A17:AB17"/>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H61"/>
  <sheetViews>
    <sheetView showFormulas="0" showGridLines="1" showRowColHeaders="1" showZeros="1" rightToLeft="0" tabSelected="0" showOutlineSymbols="1" defaultGridColor="1"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41" min="1" max="3"/>
    <col width="22" customWidth="1" style="41" min="4" max="4"/>
    <col width="26" customWidth="1" style="41" min="5" max="5"/>
    <col width="16" customWidth="1" style="41" min="6" max="6"/>
    <col width="14" customWidth="1" style="41" min="7" max="7"/>
    <col width="26" customWidth="1" style="41" min="8" max="8"/>
  </cols>
  <sheetData>
    <row r="1" ht="21.6" customHeight="1" s="42">
      <c r="A1" s="43" t="inlineStr">
        <is>
          <t>주택용 전력 — 누진제 / 주택용 계시별 선택요금 / 히트펌프 선택지</t>
        </is>
      </c>
    </row>
    <row r="2" ht="15" customHeight="1" s="42">
      <c r="A2" s="44" t="inlineStr">
        <is>
          <t>누진 단가: 2023.5.16 이후 동결(2026 3분기 기준 13분기 연속). 단가는 육지·제주 동일</t>
        </is>
      </c>
    </row>
    <row r="4" ht="17.15" customHeight="1" s="42">
      <c r="A4" s="61" t="inlineStr">
        <is>
          <t>A. 누진제 (기본값, 전국 공통)</t>
        </is>
      </c>
    </row>
    <row r="5" ht="30" customHeight="1" s="42">
      <c r="A5" s="47" t="inlineStr">
        <is>
          <t>전압</t>
        </is>
      </c>
      <c r="B5" s="47" t="inlineStr">
        <is>
          <t>계절</t>
        </is>
      </c>
      <c r="C5" s="47" t="inlineStr">
        <is>
          <t>단계</t>
        </is>
      </c>
      <c r="D5" s="47" t="inlineStr">
        <is>
          <t>구간 하한(kWh)</t>
        </is>
      </c>
      <c r="E5" s="47" t="inlineStr">
        <is>
          <t>구간 상한(kWh)</t>
        </is>
      </c>
      <c r="F5" s="47" t="inlineStr">
        <is>
          <t>기본요금(원/호)</t>
        </is>
      </c>
      <c r="G5" s="47" t="inlineStr">
        <is>
          <t>전력량요금(원/kWh)</t>
        </is>
      </c>
      <c r="H5" s="47" t="inlineStr">
        <is>
          <t>근거 / 상태</t>
        </is>
      </c>
    </row>
    <row r="6" ht="15" customHeight="1" s="42">
      <c r="A6" s="83" t="inlineStr">
        <is>
          <t>저압</t>
        </is>
      </c>
      <c r="B6" s="83" t="inlineStr">
        <is>
          <t>기타계절(1~6, 9~12월)</t>
        </is>
      </c>
      <c r="C6" s="82" t="inlineStr">
        <is>
          <t>1단계</t>
        </is>
      </c>
      <c r="D6" s="62" t="n">
        <v>0</v>
      </c>
      <c r="E6" s="62" t="n">
        <v>200</v>
      </c>
      <c r="F6" s="62" t="n">
        <v>910</v>
      </c>
      <c r="G6" s="63" t="n">
        <v>120</v>
      </c>
      <c r="H6" s="82" t="inlineStr">
        <is>
          <t>A1 별표1 / 확정</t>
        </is>
      </c>
    </row>
    <row r="7" ht="15" customHeight="1" s="42">
      <c r="A7" s="83" t="inlineStr">
        <is>
          <t>저압</t>
        </is>
      </c>
      <c r="B7" s="83" t="inlineStr">
        <is>
          <t>기타계절(1~6, 9~12월)</t>
        </is>
      </c>
      <c r="C7" s="82" t="inlineStr">
        <is>
          <t>2단계</t>
        </is>
      </c>
      <c r="D7" s="62" t="n">
        <v>201</v>
      </c>
      <c r="E7" s="62" t="n">
        <v>400</v>
      </c>
      <c r="F7" s="62" t="n">
        <v>1600</v>
      </c>
      <c r="G7" s="63" t="n">
        <v>214.6</v>
      </c>
      <c r="H7" s="82" t="inlineStr">
        <is>
          <t>A1 별표1 / 확정</t>
        </is>
      </c>
    </row>
    <row r="8" ht="15" customHeight="1" s="42">
      <c r="A8" s="83" t="inlineStr">
        <is>
          <t>저압</t>
        </is>
      </c>
      <c r="B8" s="83" t="inlineStr">
        <is>
          <t>기타계절(1~6, 9~12월)</t>
        </is>
      </c>
      <c r="C8" s="82" t="inlineStr">
        <is>
          <t>3단계</t>
        </is>
      </c>
      <c r="D8" s="62" t="n">
        <v>401</v>
      </c>
      <c r="E8" s="62" t="n"/>
      <c r="F8" s="62" t="n">
        <v>7300</v>
      </c>
      <c r="G8" s="63" t="n">
        <v>307.3</v>
      </c>
      <c r="H8" s="82" t="inlineStr">
        <is>
          <t>A1 별표1 / 확정</t>
        </is>
      </c>
    </row>
    <row r="9" ht="15" customHeight="1" s="42">
      <c r="A9" s="83" t="inlineStr">
        <is>
          <t>저압</t>
        </is>
      </c>
      <c r="B9" s="83" t="inlineStr">
        <is>
          <t>하계(7~8월)</t>
        </is>
      </c>
      <c r="C9" s="82" t="inlineStr">
        <is>
          <t>1단계</t>
        </is>
      </c>
      <c r="D9" s="62" t="n">
        <v>0</v>
      </c>
      <c r="E9" s="62" t="n">
        <v>300</v>
      </c>
      <c r="F9" s="62" t="n">
        <v>910</v>
      </c>
      <c r="G9" s="63" t="n">
        <v>120</v>
      </c>
      <c r="H9" s="82" t="inlineStr">
        <is>
          <t>A1 별표1 / 확정</t>
        </is>
      </c>
    </row>
    <row r="10" ht="15" customHeight="1" s="42">
      <c r="A10" s="83" t="inlineStr">
        <is>
          <t>저압</t>
        </is>
      </c>
      <c r="B10" s="83" t="inlineStr">
        <is>
          <t>하계(7~8월)</t>
        </is>
      </c>
      <c r="C10" s="82" t="inlineStr">
        <is>
          <t>2단계</t>
        </is>
      </c>
      <c r="D10" s="62" t="n">
        <v>301</v>
      </c>
      <c r="E10" s="62" t="n">
        <v>450</v>
      </c>
      <c r="F10" s="62" t="n">
        <v>1600</v>
      </c>
      <c r="G10" s="63" t="n">
        <v>214.6</v>
      </c>
      <c r="H10" s="82" t="inlineStr">
        <is>
          <t>A1 별표1 / 확정</t>
        </is>
      </c>
    </row>
    <row r="11" ht="15" customHeight="1" s="42">
      <c r="A11" s="83" t="inlineStr">
        <is>
          <t>저압</t>
        </is>
      </c>
      <c r="B11" s="83" t="inlineStr">
        <is>
          <t>하계(7~8월)</t>
        </is>
      </c>
      <c r="C11" s="82" t="inlineStr">
        <is>
          <t>3단계</t>
        </is>
      </c>
      <c r="D11" s="62" t="n">
        <v>451</v>
      </c>
      <c r="E11" s="62" t="n"/>
      <c r="F11" s="62" t="n">
        <v>7300</v>
      </c>
      <c r="G11" s="63" t="n">
        <v>307.3</v>
      </c>
      <c r="H11" s="82" t="inlineStr">
        <is>
          <t>A1 별표1 / 확정</t>
        </is>
      </c>
    </row>
    <row r="12" ht="15" customHeight="1" s="42">
      <c r="A12" s="83" t="inlineStr">
        <is>
          <t>저압</t>
        </is>
      </c>
      <c r="B12" s="83" t="inlineStr">
        <is>
          <t>하계·동계(12~2월)</t>
        </is>
      </c>
      <c r="C12" s="50" t="inlineStr">
        <is>
          <t>슈퍼유저</t>
        </is>
      </c>
      <c r="D12" s="62" t="n">
        <v>1001</v>
      </c>
      <c r="E12" s="62" t="n"/>
      <c r="F12" s="62" t="n"/>
      <c r="G12" s="63" t="n">
        <v>736.2</v>
      </c>
      <c r="H12" s="82" t="inlineStr">
        <is>
          <t>A1 별표1 / 확정</t>
        </is>
      </c>
    </row>
    <row r="13" ht="15" customHeight="1" s="42">
      <c r="A13" s="83" t="inlineStr">
        <is>
          <t>고압</t>
        </is>
      </c>
      <c r="B13" s="83" t="inlineStr">
        <is>
          <t>기타계절(1~6, 9~12월)</t>
        </is>
      </c>
      <c r="C13" s="82" t="inlineStr">
        <is>
          <t>1단계</t>
        </is>
      </c>
      <c r="D13" s="62" t="n">
        <v>0</v>
      </c>
      <c r="E13" s="62" t="n">
        <v>200</v>
      </c>
      <c r="F13" s="62" t="n">
        <v>730</v>
      </c>
      <c r="G13" s="63" t="n">
        <v>105</v>
      </c>
      <c r="H13" s="82" t="inlineStr">
        <is>
          <t>A1 별표1 / 확정</t>
        </is>
      </c>
    </row>
    <row r="14" ht="15" customHeight="1" s="42">
      <c r="A14" s="83" t="inlineStr">
        <is>
          <t>고압</t>
        </is>
      </c>
      <c r="B14" s="83" t="inlineStr">
        <is>
          <t>기타계절(1~6, 9~12월)</t>
        </is>
      </c>
      <c r="C14" s="82" t="inlineStr">
        <is>
          <t>2단계</t>
        </is>
      </c>
      <c r="D14" s="62" t="n">
        <v>201</v>
      </c>
      <c r="E14" s="62" t="n">
        <v>400</v>
      </c>
      <c r="F14" s="62" t="n">
        <v>1260</v>
      </c>
      <c r="G14" s="63" t="n">
        <v>174</v>
      </c>
      <c r="H14" s="82" t="inlineStr">
        <is>
          <t>A1 별표1 / 확정</t>
        </is>
      </c>
    </row>
    <row r="15" ht="15" customHeight="1" s="42">
      <c r="A15" s="83" t="inlineStr">
        <is>
          <t>고압</t>
        </is>
      </c>
      <c r="B15" s="83" t="inlineStr">
        <is>
          <t>기타계절(1~6, 9~12월)</t>
        </is>
      </c>
      <c r="C15" s="82" t="inlineStr">
        <is>
          <t>3단계</t>
        </is>
      </c>
      <c r="D15" s="62" t="n">
        <v>401</v>
      </c>
      <c r="E15" s="62" t="n"/>
      <c r="F15" s="62" t="n">
        <v>6060</v>
      </c>
      <c r="G15" s="63" t="n">
        <v>242.3</v>
      </c>
      <c r="H15" s="82" t="inlineStr">
        <is>
          <t>A1 별표1 / 확정</t>
        </is>
      </c>
    </row>
    <row r="16" ht="15" customHeight="1" s="42">
      <c r="A16" s="83" t="inlineStr">
        <is>
          <t>고압</t>
        </is>
      </c>
      <c r="B16" s="83" t="inlineStr">
        <is>
          <t>하계(7~8월)</t>
        </is>
      </c>
      <c r="C16" s="82" t="inlineStr">
        <is>
          <t>1단계</t>
        </is>
      </c>
      <c r="D16" s="62" t="n">
        <v>0</v>
      </c>
      <c r="E16" s="62" t="n">
        <v>300</v>
      </c>
      <c r="F16" s="62" t="n">
        <v>730</v>
      </c>
      <c r="G16" s="63" t="n">
        <v>105</v>
      </c>
      <c r="H16" s="82" t="inlineStr">
        <is>
          <t>A1 별표1 / 확정</t>
        </is>
      </c>
    </row>
    <row r="17" ht="15" customHeight="1" s="42">
      <c r="A17" s="83" t="inlineStr">
        <is>
          <t>고압</t>
        </is>
      </c>
      <c r="B17" s="83" t="inlineStr">
        <is>
          <t>하계(7~8월)</t>
        </is>
      </c>
      <c r="C17" s="82" t="inlineStr">
        <is>
          <t>2단계</t>
        </is>
      </c>
      <c r="D17" s="62" t="n">
        <v>301</v>
      </c>
      <c r="E17" s="62" t="n">
        <v>450</v>
      </c>
      <c r="F17" s="62" t="n">
        <v>1260</v>
      </c>
      <c r="G17" s="63" t="n">
        <v>174</v>
      </c>
      <c r="H17" s="82" t="inlineStr">
        <is>
          <t>A1 별표1 / 확정</t>
        </is>
      </c>
    </row>
    <row r="18" ht="15" customHeight="1" s="42">
      <c r="A18" s="83" t="inlineStr">
        <is>
          <t>고압</t>
        </is>
      </c>
      <c r="B18" s="83" t="inlineStr">
        <is>
          <t>하계(7~8월)</t>
        </is>
      </c>
      <c r="C18" s="82" t="inlineStr">
        <is>
          <t>3단계</t>
        </is>
      </c>
      <c r="D18" s="62" t="n">
        <v>451</v>
      </c>
      <c r="E18" s="62" t="n"/>
      <c r="F18" s="62" t="n">
        <v>6060</v>
      </c>
      <c r="G18" s="63" t="n">
        <v>242.3</v>
      </c>
      <c r="H18" s="82" t="inlineStr">
        <is>
          <t>A1 별표1 / 확정</t>
        </is>
      </c>
    </row>
    <row r="19" ht="15" customHeight="1" s="42">
      <c r="A19" s="83" t="inlineStr">
        <is>
          <t>고압</t>
        </is>
      </c>
      <c r="B19" s="83" t="inlineStr">
        <is>
          <t>하계·동계(12~2월)</t>
        </is>
      </c>
      <c r="C19" s="50" t="inlineStr">
        <is>
          <t>슈퍼유저</t>
        </is>
      </c>
      <c r="D19" s="62" t="n">
        <v>1001</v>
      </c>
      <c r="E19" s="62" t="n"/>
      <c r="F19" s="62" t="n"/>
      <c r="G19" s="63" t="n">
        <v>601.3</v>
      </c>
      <c r="H19" s="82" t="inlineStr">
        <is>
          <t>A1 별표1 / 확정</t>
        </is>
      </c>
    </row>
    <row r="20" ht="43.5" customHeight="1" s="42">
      <c r="A20" s="60" t="inlineStr">
        <is>
          <t>누진 계산 원칙: 구간별로 해당 구간 사용량에만 그 단가를 적용(초과분 누진), 기본요금은 최종 도달 구간 1개만 부과. 저압=일반 단독·다가구 등, 고압=아파트 등 고압 수전 주택. 월간 최저요금 1,000원(A1 별표1 1-가-(3)). 슈퍼유저는 여름철 7.1~8.31과 겨울철 12.1~익년 2월 말일에만 적용. 사용전력량이 없는 월에는 기본요금 50% 감액(단, 최저요금 적용 주택용은 제외 — A1 제67조 제6항 제1호).</t>
        </is>
      </c>
    </row>
    <row r="22" ht="17.15" customHeight="1" s="42">
      <c r="A22" s="61" t="inlineStr">
        <is>
          <t>A-1. 누진 요금 계산 예시 (저압, 수식 연동 — 파란 셀 사용량만 바꿔 보세요)</t>
        </is>
      </c>
    </row>
    <row r="23" ht="30" customHeight="1" s="42">
      <c r="A23" s="47" t="inlineStr">
        <is>
          <t>항목</t>
        </is>
      </c>
      <c r="B23" s="47" t="inlineStr">
        <is>
          <t>예시1 기타계절</t>
        </is>
      </c>
      <c r="C23" s="47" t="inlineStr">
        <is>
          <t>예시2 하계</t>
        </is>
      </c>
      <c r="D23" s="47" t="inlineStr">
        <is>
          <t>예시3 기타계절</t>
        </is>
      </c>
      <c r="E23" s="47" t="n"/>
      <c r="F23" s="47" t="n"/>
      <c r="G23" s="47" t="n"/>
      <c r="H23" s="47" t="inlineStr">
        <is>
          <t>비고</t>
        </is>
      </c>
    </row>
    <row r="24" ht="15" customHeight="1" s="42">
      <c r="A24" s="64" t="inlineStr">
        <is>
          <t>월 사용량(kWh)</t>
        </is>
      </c>
      <c r="B24" s="65" t="n">
        <v>350</v>
      </c>
      <c r="C24" s="65" t="n">
        <v>350</v>
      </c>
      <c r="D24" s="65" t="n">
        <v>500</v>
      </c>
      <c r="H24" s="66" t="inlineStr">
        <is>
          <t>입력값(파란 글씨)</t>
        </is>
      </c>
    </row>
    <row r="25" ht="15" customHeight="1" s="42">
      <c r="A25" s="67" t="inlineStr">
        <is>
          <t>1단계 상한(kWh)</t>
        </is>
      </c>
      <c r="B25" s="68">
        <f>E6</f>
        <v/>
      </c>
      <c r="C25" s="68">
        <f>E9</f>
        <v/>
      </c>
      <c r="D25" s="68">
        <f>E6</f>
        <v/>
      </c>
    </row>
    <row r="26" ht="15" customHeight="1" s="42">
      <c r="A26" s="67" t="inlineStr">
        <is>
          <t>2단계 상한(kWh)</t>
        </is>
      </c>
      <c r="B26" s="68">
        <f>E7</f>
        <v/>
      </c>
      <c r="C26" s="68">
        <f>E10</f>
        <v/>
      </c>
      <c r="D26" s="68">
        <f>E7</f>
        <v/>
      </c>
    </row>
    <row r="27" ht="15" customHeight="1" s="42">
      <c r="A27" s="67" t="inlineStr">
        <is>
          <t>1단계 사용량</t>
        </is>
      </c>
      <c r="B27" s="68">
        <f>MIN(B24,B25)</f>
        <v/>
      </c>
      <c r="C27" s="68">
        <f>MIN(C24,C25)</f>
        <v/>
      </c>
      <c r="D27" s="68">
        <f>MIN(D24,D25)</f>
        <v/>
      </c>
    </row>
    <row r="28" ht="15" customHeight="1" s="42">
      <c r="A28" s="67" t="inlineStr">
        <is>
          <t>2단계 사용량</t>
        </is>
      </c>
      <c r="B28" s="68">
        <f>MIN(MAX(B24-B25,0),B26-B25)</f>
        <v/>
      </c>
      <c r="C28" s="68">
        <f>MIN(MAX(C24-C25,0),C26-C25)</f>
        <v/>
      </c>
      <c r="D28" s="68">
        <f>MIN(MAX(D24-D25,0),D26-D25)</f>
        <v/>
      </c>
    </row>
    <row r="29" ht="15" customHeight="1" s="42">
      <c r="A29" s="67" t="inlineStr">
        <is>
          <t>3단계 사용량</t>
        </is>
      </c>
      <c r="B29" s="68">
        <f>MAX(B24-B26,0)</f>
        <v/>
      </c>
      <c r="C29" s="68">
        <f>MAX(C24-C26,0)</f>
        <v/>
      </c>
      <c r="D29" s="68">
        <f>MAX(D24-D26,0)</f>
        <v/>
      </c>
    </row>
    <row r="30" ht="15" customHeight="1" s="42">
      <c r="A30" s="69" t="inlineStr">
        <is>
          <t>기본요금</t>
        </is>
      </c>
      <c r="B30" s="68">
        <f>IF(B24&lt;=B25,F6,IF(B24&lt;=B26,F7,F8))</f>
        <v/>
      </c>
      <c r="C30" s="68">
        <f>IF(C24&lt;=C25,F9,IF(C24&lt;=C26,F10,F11))</f>
        <v/>
      </c>
      <c r="D30" s="68">
        <f>IF(D24&lt;=D25,F6,IF(D24&lt;=D26,F7,F8))</f>
        <v/>
      </c>
    </row>
    <row r="31" ht="15" customHeight="1" s="42">
      <c r="A31" s="69" t="inlineStr">
        <is>
          <t>전력량요금</t>
        </is>
      </c>
      <c r="B31" s="68">
        <f>B27*G6+B28*G7+B29*G8</f>
        <v/>
      </c>
      <c r="C31" s="68">
        <f>C27*G9+C28*G10+C29*G11</f>
        <v/>
      </c>
      <c r="D31" s="68">
        <f>D27*G6+D28*G7+D29*G8</f>
        <v/>
      </c>
    </row>
    <row r="32" ht="15" customHeight="1" s="42">
      <c r="A32" s="69" t="inlineStr">
        <is>
          <t>기후환경요금</t>
        </is>
      </c>
      <c r="B32" s="68">
        <f>B24*요금구성_공통!$C$5</f>
        <v/>
      </c>
      <c r="C32" s="68">
        <f>C24*요금구성_공통!$C$5</f>
        <v/>
      </c>
      <c r="D32" s="68">
        <f>D24*요금구성_공통!$C$5</f>
        <v/>
      </c>
    </row>
    <row r="33" ht="15" customHeight="1" s="42">
      <c r="A33" s="69" t="inlineStr">
        <is>
          <t>연료비조정요금</t>
        </is>
      </c>
      <c r="B33" s="68">
        <f>B24*요금구성_공통!$C$6</f>
        <v/>
      </c>
      <c r="C33" s="68">
        <f>C24*요금구성_공통!$C$6</f>
        <v/>
      </c>
      <c r="D33" s="68">
        <f>D24*요금구성_공통!$C$6</f>
        <v/>
      </c>
    </row>
    <row r="34" ht="15" customHeight="1" s="42">
      <c r="A34" s="69" t="inlineStr">
        <is>
          <t>전기요금 계(①)</t>
        </is>
      </c>
      <c r="B34" s="68">
        <f>SUM(B30:B33)</f>
        <v/>
      </c>
      <c r="C34" s="68">
        <f>SUM(C30:C33)</f>
        <v/>
      </c>
      <c r="D34" s="68">
        <f>SUM(D30:D33)</f>
        <v/>
      </c>
    </row>
    <row r="35" ht="15" customHeight="1" s="42">
      <c r="A35" s="69" t="inlineStr">
        <is>
          <t>부가가치세(①×10%)</t>
        </is>
      </c>
      <c r="B35" s="68">
        <f>B34*요금구성_공통!$C$7</f>
        <v/>
      </c>
      <c r="C35" s="68">
        <f>C34*요금구성_공통!$C$7</f>
        <v/>
      </c>
      <c r="D35" s="68">
        <f>D34*요금구성_공통!$C$7</f>
        <v/>
      </c>
    </row>
    <row r="36" ht="15" customHeight="1" s="42">
      <c r="A36" s="69" t="inlineStr">
        <is>
          <t>전력산업기반기금(①×2.7%)</t>
        </is>
      </c>
      <c r="B36" s="68">
        <f>B34*요금구성_공통!$C$8</f>
        <v/>
      </c>
      <c r="C36" s="68">
        <f>C34*요금구성_공통!$C$8</f>
        <v/>
      </c>
      <c r="D36" s="68">
        <f>D34*요금구성_공통!$C$8</f>
        <v/>
      </c>
    </row>
    <row r="37" ht="15" customHeight="1" s="42">
      <c r="A37" s="64" t="inlineStr">
        <is>
          <t>청구 추정액</t>
        </is>
      </c>
      <c r="B37" s="68">
        <f>B34+B35+B36</f>
        <v/>
      </c>
      <c r="C37" s="68">
        <f>C34+C35+C36</f>
        <v/>
      </c>
      <c r="D37" s="68">
        <f>D34+D35+D36</f>
        <v/>
      </c>
      <c r="H37" s="66" t="inlineStr">
        <is>
          <t>원단위 절사·복지할인 미반영 근사치</t>
        </is>
      </c>
    </row>
    <row r="38" ht="36" customHeight="1" s="42">
      <c r="A38" s="60" t="inlineStr">
        <is>
          <t>예시1 vs 예시2: 같은 350kWh라도 하계(7~8월)는 1단계가 300kWh까지 확대되어 요금이 낮다. 예시3: 400kWh를 넘는 순간 기본요금이 1,600→7,300원으로 뛰고 초과분에 307.3원이 적용된다 → HEMS의 월말 누적량 관리 근거.</t>
        </is>
      </c>
    </row>
    <row r="40" ht="17.15" customHeight="1" s="42">
      <c r="A40" s="61" t="inlineStr">
        <is>
          <t>B. 주택용 계절·시간대별(계시별) 선택요금 — 제주 주거용 전 가구(2021.9.1~) / 육지 인증 지열·공기열 설치 가구(2026.4.1~) · 세칙 제48조의5·별표12</t>
        </is>
      </c>
    </row>
    <row r="41" ht="30" customHeight="1" s="42">
      <c r="A41" s="47" t="inlineStr">
        <is>
          <t>구분</t>
        </is>
      </c>
      <c r="B41" s="47" t="inlineStr">
        <is>
          <t>기본요금 (세칙 별표12)</t>
        </is>
      </c>
      <c r="C41" s="47" t="inlineStr">
        <is>
          <t>시간대</t>
        </is>
      </c>
      <c r="D41" s="47" t="inlineStr">
        <is>
          <t>여름·겨울 (원/kWh)</t>
        </is>
      </c>
      <c r="E41" s="47" t="inlineStr">
        <is>
          <t>봄·가을 (원/kWh)</t>
        </is>
      </c>
      <c r="F41" s="47" t="inlineStr">
        <is>
          <t>제주 시간대</t>
        </is>
      </c>
      <c r="G41" s="47" t="inlineStr">
        <is>
          <t>육지 시간대</t>
        </is>
      </c>
      <c r="H41" s="47" t="inlineStr">
        <is>
          <t>근거 / 상태</t>
        </is>
      </c>
    </row>
    <row r="42" ht="30" customHeight="1" s="42">
      <c r="A42" s="83" t="inlineStr">
        <is>
          <t>주택용 계시별</t>
        </is>
      </c>
      <c r="B42" s="83" t="inlineStr">
        <is>
          <t>4,310원/kW × 요금적용전력 3kW/가구</t>
        </is>
      </c>
      <c r="C42" s="50" t="inlineStr">
        <is>
          <t>경부하</t>
        </is>
      </c>
      <c r="D42" s="63" t="n">
        <v>138.7</v>
      </c>
      <c r="E42" s="63" t="n">
        <v>125.8</v>
      </c>
      <c r="F42" s="82" t="inlineStr">
        <is>
          <t>22~08시</t>
        </is>
      </c>
      <c r="G42" s="82" t="inlineStr">
        <is>
          <t>22~08시</t>
        </is>
      </c>
      <c r="H42" s="82" t="inlineStr">
        <is>
          <t>A2 별표12 / 확정</t>
        </is>
      </c>
    </row>
    <row r="43" ht="30" customHeight="1" s="42">
      <c r="A43" s="83" t="inlineStr">
        <is>
          <t>주택용 계시별</t>
        </is>
      </c>
      <c r="B43" s="83">
        <f> 월 12,930원/가구 (저압·고압 동일)</f>
        <v/>
      </c>
      <c r="C43" s="50" t="inlineStr">
        <is>
          <t>중간부하</t>
        </is>
      </c>
      <c r="D43" s="63" t="n">
        <v>184.7</v>
      </c>
      <c r="E43" s="63" t="n">
        <v>153.8</v>
      </c>
      <c r="F43" s="82" t="inlineStr">
        <is>
          <t>08~16시</t>
        </is>
      </c>
      <c r="G43" s="82" t="inlineStr">
        <is>
          <t>08~15, 21~22시</t>
        </is>
      </c>
      <c r="H43" s="82" t="inlineStr">
        <is>
          <t>A2 별표12 / 확정</t>
        </is>
      </c>
    </row>
    <row r="44" ht="30" customHeight="1" s="42">
      <c r="A44" s="83" t="inlineStr">
        <is>
          <t>주택용 계시별</t>
        </is>
      </c>
      <c r="B44" s="83" t="inlineStr">
        <is>
          <t>슈퍼유저: 6~8월·11~2월 1,000kWh 초과분 736.2원/kWh</t>
        </is>
      </c>
      <c r="C44" s="50" t="inlineStr">
        <is>
          <t>최대부하</t>
        </is>
      </c>
      <c r="D44" s="63" t="n">
        <v>220.5</v>
      </c>
      <c r="E44" s="63" t="n">
        <v>172.4</v>
      </c>
      <c r="F44" s="82" t="inlineStr">
        <is>
          <t>16~22시</t>
        </is>
      </c>
      <c r="G44" s="82" t="inlineStr">
        <is>
          <t>15~21시</t>
        </is>
      </c>
      <c r="H44" s="82" t="inlineStr">
        <is>
          <t>A2 별표12 / 확정</t>
        </is>
      </c>
    </row>
    <row r="45" ht="63.75" customHeight="1" s="42">
      <c r="A45" s="60" t="inlineStr">
        <is>
          <t>확정(2026-09-15): 세칙 별표12(2026.8.1판, PDF 190쪽) 원문 — "요금적용전력은 가구당 3kW로 적용하며, 기본요금은 요금적용전력에 대하여 kW당 4,310원으로 한다" → 월 12,930원. 이전 버전의 '원/호' 가설은 폐기. 누진 기본요금(910/1,600/7,300원) 대비 월 5,630~12,020원의 고정비 추가이므로 요금제 추천 로직은 이 차이를 반드시 반영할 것. 저압 9월 야간집중(경70/중20/최10%, 가중단가 136.06원) 기준 손익분기 = 30,250/(214.6−136.06) ≈ 385kWh/월.</t>
        </is>
      </c>
    </row>
    <row r="46" ht="39.75" customHeight="1" s="42">
      <c r="A46" s="60" t="inlineStr">
        <is>
          <t>여름·겨울 단가(138.7/184.7/220.5)와 봄·가을 단가(125.8/153.8/172.4) 모두 세칙 별표12 원문으로 확정(S12·S13·S14와 일치). 시간대는 세칙 제48조의5 ⑤에 따라 약관 별표3 제1호를 준용 → 육지 가구는 2026 개편 시간대(평일 최대부하 여름·봄·가을 15~21시, 겨울 09~12·16~19시), 제주 가구는 별표3 단서4의 제주 시간대(최대부하 16~22시). 슈퍼유저 요금(별표12 제3호): 여름철(6.1~8.31)·겨울철(11.1~익년 2월 말) 월 1,000kWh 초과분에 736.2원/kWh, 초과분을 제외한 사용량의 시간대 비중은 월 전체 비중과 동일하게 계산. 계절 변동 시 사용일수 비례 산정, 계시별 변경 후 1년간 누진 복귀 불가(계약전력 5kW 초과 변경·계절/시간대 구분 변경 등 예외).</t>
        </is>
      </c>
    </row>
    <row r="48" ht="17.15" customHeight="1" s="42">
      <c r="A48" s="61" t="inlineStr">
        <is>
          <t>C. 히트펌프 설치 가구 요금제 선택지 — 육지(2026.4.1~) vs 제주</t>
        </is>
      </c>
    </row>
    <row r="49" ht="30" customHeight="1" s="42">
      <c r="A49" s="47" t="inlineStr">
        <is>
          <t>선택지</t>
        </is>
      </c>
      <c r="B49" s="47" t="inlineStr">
        <is>
          <t>요금 방식</t>
        </is>
      </c>
      <c r="C49" s="47" t="inlineStr">
        <is>
          <t>유리한 조건</t>
        </is>
      </c>
      <c r="D49" s="47" t="inlineStr">
        <is>
          <t>육지</t>
        </is>
      </c>
      <c r="E49" s="47" t="inlineStr">
        <is>
          <t>제주</t>
        </is>
      </c>
      <c r="F49" s="47" t="n"/>
      <c r="G49" s="47" t="n"/>
      <c r="H49" s="47" t="inlineStr">
        <is>
          <t>근거</t>
        </is>
      </c>
    </row>
    <row r="50" ht="39.75" customHeight="1" s="42">
      <c r="A50" s="83" t="inlineStr">
        <is>
          <t>① 주택용 누진제 유지</t>
        </is>
      </c>
      <c r="B50" s="83" t="inlineStr">
        <is>
          <t>기존 누진 3단계</t>
        </is>
      </c>
      <c r="C50" s="83" t="inlineStr">
        <is>
          <t>사용량이 적거나 태양광 설치 가구</t>
        </is>
      </c>
      <c r="D50" s="83" t="inlineStr">
        <is>
          <t>가능</t>
        </is>
      </c>
      <c r="E50" s="83" t="inlineStr">
        <is>
          <t>가능</t>
        </is>
      </c>
      <c r="F50" s="50" t="n"/>
      <c r="G50" s="50" t="n"/>
      <c r="H50" s="82" t="inlineStr">
        <is>
          <t>A2 제48조의5·S14·S15·S29 / 확정</t>
        </is>
      </c>
    </row>
    <row r="51" ht="39.75" customHeight="1" s="42">
      <c r="A51" s="83" t="inlineStr">
        <is>
          <t>② 히트펌프 분리 일반용</t>
        </is>
      </c>
      <c r="B51" s="83" t="inlineStr">
        <is>
          <t>히트펌프에 별도 계량기를 달아 그 전력만 일반용(누진 미적용), 나머지는 주택용</t>
        </is>
      </c>
      <c r="C51" s="83" t="inlineStr">
        <is>
          <t>월 약 600kWh 이상 고사용 가구 (전기신문 분석상 역전 구간)</t>
        </is>
      </c>
      <c r="D51" s="83" t="inlineStr">
        <is>
          <t>가능 (2026.3 공기열이 재생에너지로 법적 인정되며 지열→공기열 확대). 인증심사기준이 마련되기 전에는 기후부가 전문가위원회 검토를 거쳐 난방 전기화 보조금 지원대상으로 선정·공지한 제품을 인증으로 간주(A1 부칙 2026.3.16) → 제품별 선정·공지 증빙으로 자격 판정</t>
        </is>
      </c>
      <c r="E51" s="83" t="inlineStr">
        <is>
          <t>동일</t>
        </is>
      </c>
      <c r="F51" s="50" t="n"/>
      <c r="G51" s="50" t="n"/>
      <c r="H51" s="82" t="inlineStr">
        <is>
          <t>A2 제48조의5·S14·S15·S29 / 확정</t>
        </is>
      </c>
    </row>
    <row r="52" ht="39.75" customHeight="1" s="42">
      <c r="A52" s="83" t="inlineStr">
        <is>
          <t>③ 주택용 계시별</t>
        </is>
      </c>
      <c r="B52" s="83" t="inlineStr">
        <is>
          <t>위 B표 단가</t>
        </is>
      </c>
      <c r="C52" s="83" t="inlineStr">
        <is>
          <t>야간·낮 시간대로 부하 이동이 가능한 가구</t>
        </is>
      </c>
      <c r="D52" s="83" t="inlineStr">
        <is>
          <t>인증 지열·공기열 설치 가구만, 2026.4.1~ (②와 동시 적용 불가)</t>
        </is>
      </c>
      <c r="E52" s="83" t="inlineStr">
        <is>
          <t>제주 주거용 전 가구, 2021.9.1~ (제주가 먼저 시행 → 육지로 확대된 제도)</t>
        </is>
      </c>
      <c r="F52" s="50" t="n"/>
      <c r="G52" s="50" t="n"/>
      <c r="H52" s="82" t="inlineStr">
        <is>
          <t>A2 제48조의5·S14·S15·S29 / 확정</t>
        </is>
      </c>
    </row>
    <row r="53" ht="39.75" customHeight="1" s="42">
      <c r="A53" s="46" t="inlineStr">
        <is>
          <t>제주 전용 '히트펌프 요금제'는 존재하지 않는다. 제주 히트펌프 가구가 쓰는 요금제는 위 ①②③으로 육지와 동일하며, 차이는 ③의 가입 자격(제주는 주거용 전 가구, 육지는 인증 지열·공기열 설치 가구)과 적용 시간대(제주 최대부하 16~22시 vs 육지 15~21시)뿐이다. 제주의 고유 제도는 요금이 아니라 보조금 쪽에 있다(아래 D). ▶ 3가지 선택지의 쉬운 풀이·계절별 요금 구조는 '계약종별_쉬운설명' 시트 E절 참조.</t>
        </is>
      </c>
    </row>
    <row r="55" ht="17.15" customHeight="1" s="42">
      <c r="A55" s="61" t="inlineStr">
        <is>
          <t>D. 제주 난방 전기화(히트펌프) 보급 지원사업 — 요금이 아닌 설치 보조금</t>
        </is>
      </c>
    </row>
    <row r="56" ht="30" customHeight="1" s="42">
      <c r="A56" s="47" t="inlineStr">
        <is>
          <t>항목</t>
        </is>
      </c>
      <c r="B56" s="47" t="inlineStr">
        <is>
          <t>내용</t>
        </is>
      </c>
      <c r="C56" s="47" t="n"/>
      <c r="D56" s="47" t="n"/>
      <c r="E56" s="47" t="n"/>
      <c r="F56" s="47" t="n"/>
      <c r="G56" s="47" t="n"/>
      <c r="H56" s="47" t="inlineStr">
        <is>
          <t>근거</t>
        </is>
      </c>
    </row>
    <row r="57" ht="33.75" customHeight="1" s="42">
      <c r="A57" s="83" t="inlineStr">
        <is>
          <t>지원 규모</t>
        </is>
      </c>
      <c r="B57" s="83" t="inlineStr">
        <is>
          <t>설치비 약 1,400만원 중 최대 980만원(국비+도비) 지원, 자부담 최대 420만원</t>
        </is>
      </c>
      <c r="C57" s="70" t="n"/>
      <c r="D57" s="70" t="n"/>
      <c r="E57" s="70" t="n"/>
      <c r="F57" s="70" t="n"/>
      <c r="G57" s="71" t="n"/>
      <c r="H57" s="82" t="inlineStr">
        <is>
          <t>S30·S31 / 확정</t>
        </is>
      </c>
    </row>
    <row r="58" ht="33.75" customHeight="1" s="42">
      <c r="A58" s="83" t="inlineStr">
        <is>
          <t>우선 지원 대상</t>
        </is>
      </c>
      <c r="B58" s="84" t="inlineStr">
        <is>
          <t>3kW 이상 태양광 설치(예정) 단독·연립주택, 연탄·화목·등유 보일러 사용 가구, 도시가스 미공급 지역, 단열 효율 높은 가구</t>
        </is>
      </c>
      <c r="C58" s="70" t="n"/>
      <c r="D58" s="70" t="n"/>
      <c r="E58" s="70" t="n"/>
      <c r="F58" s="70" t="n"/>
      <c r="G58" s="71" t="n"/>
      <c r="H58" s="82" t="inlineStr">
        <is>
          <t>S30·S31 / 확정</t>
        </is>
      </c>
    </row>
    <row r="59" ht="33.75" customHeight="1" s="42">
      <c r="A59" s="83" t="inlineStr">
        <is>
          <t>일정·규모</t>
        </is>
      </c>
      <c r="B59" s="84" t="inlineStr">
        <is>
          <t>2026년 4월 본격 시행, 하반기 지원대상 확대(1,418가구)</t>
        </is>
      </c>
      <c r="C59" s="70" t="n"/>
      <c r="D59" s="70" t="n"/>
      <c r="E59" s="70" t="n"/>
      <c r="F59" s="70" t="n"/>
      <c r="G59" s="71" t="n"/>
      <c r="H59" s="82" t="inlineStr">
        <is>
          <t>S30·S31 / 확정</t>
        </is>
      </c>
    </row>
    <row r="60" ht="33.75" customHeight="1" s="42">
      <c r="A60" s="83" t="inlineStr">
        <is>
          <t>신청</t>
        </is>
      </c>
      <c r="B60" s="83" t="inlineStr">
        <is>
          <t>제주도 누리집에서 제조사 선택 → 현장 확인·설치 적합 판정 → 서류 제출 후 최종 심사</t>
        </is>
      </c>
      <c r="C60" s="70" t="n"/>
      <c r="D60" s="70" t="n"/>
      <c r="E60" s="70" t="n"/>
      <c r="F60" s="70" t="n"/>
      <c r="G60" s="71" t="n"/>
      <c r="H60" s="82" t="inlineStr">
        <is>
          <t>S30·S31 / 확정</t>
        </is>
      </c>
    </row>
    <row r="61" ht="33.75" customHeight="1" s="42">
      <c r="A61" s="84" t="inlineStr">
        <is>
          <t>HEMS 시사점</t>
        </is>
      </c>
      <c r="B61" s="83" t="inlineStr">
        <is>
          <t>태양광 보유 가구 우선 지원 → 제주 히트펌프 가구는 '태양광 + 히트펌프 + 계시별 요금' 조합이 많아질 것. 낮 시간 자가소비·축열 스케줄링 수요가 큼</t>
        </is>
      </c>
      <c r="C61" s="70" t="n"/>
      <c r="D61" s="70" t="n"/>
      <c r="E61" s="70" t="n"/>
      <c r="F61" s="70" t="n"/>
      <c r="G61" s="71" t="n"/>
      <c r="H61" s="82" t="inlineStr">
        <is>
          <t>S30·S31 / 확정</t>
        </is>
      </c>
    </row>
  </sheetData>
  <mergeCells count="10">
    <mergeCell ref="A53:H53"/>
    <mergeCell ref="B59:G59"/>
    <mergeCell ref="B60:G60"/>
    <mergeCell ref="A20:H20"/>
    <mergeCell ref="A38:H38"/>
    <mergeCell ref="B61:G61"/>
    <mergeCell ref="B57:G57"/>
    <mergeCell ref="B58:G58"/>
    <mergeCell ref="A45:H45"/>
    <mergeCell ref="A46:H46"/>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E10"/>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22" customWidth="1" style="41" min="1" max="1"/>
    <col width="10" customWidth="1" style="41" min="2" max="3"/>
    <col width="50" customWidth="1" style="41" min="4" max="4"/>
    <col width="34" customWidth="1" style="41" min="5" max="5"/>
  </cols>
  <sheetData>
    <row r="1" ht="21.6" customHeight="1" s="42">
      <c r="A1" s="43" t="inlineStr">
        <is>
          <t>전기요금 공통 부과 항목 (2026년 9월 기준)</t>
        </is>
      </c>
    </row>
    <row r="2" ht="15" customHeight="1" s="42">
      <c r="A2" s="72" t="inlineStr">
        <is>
          <t>C열 값은 '주택용' 계산 예시가 참조하는 입력 셀</t>
        </is>
      </c>
    </row>
    <row r="4" ht="30" customHeight="1" s="42">
      <c r="A4" s="47" t="inlineStr">
        <is>
          <t>항목</t>
        </is>
      </c>
      <c r="B4" s="47" t="inlineStr">
        <is>
          <t>단위</t>
        </is>
      </c>
      <c r="C4" s="47" t="inlineStr">
        <is>
          <t>값</t>
        </is>
      </c>
      <c r="D4" s="47" t="inlineStr">
        <is>
          <t>적용 기준</t>
        </is>
      </c>
      <c r="E4" s="47" t="inlineStr">
        <is>
          <t>근거 / 상태</t>
        </is>
      </c>
    </row>
    <row r="5" ht="30" customHeight="1" s="42">
      <c r="A5" s="83" t="inlineStr">
        <is>
          <t>기후환경요금</t>
        </is>
      </c>
      <c r="B5" s="50" t="inlineStr">
        <is>
          <t>원/kWh</t>
        </is>
      </c>
      <c r="C5" s="73" t="n">
        <v>9</v>
      </c>
      <c r="D5" s="83" t="inlineStr">
        <is>
          <t>전 사용량에 부과. RPS+ETS+석탄발전 감축비용+에너지캐시백 지원금 (2023.1.1~ 9.0원)</t>
        </is>
      </c>
      <c r="E5" s="84" t="inlineStr">
        <is>
          <t>A1 별표7 부칙 / 확정</t>
        </is>
      </c>
    </row>
    <row r="6" ht="30" customHeight="1" s="42">
      <c r="A6" s="83" t="inlineStr">
        <is>
          <t>연료비조정요금</t>
        </is>
      </c>
      <c r="B6" s="50" t="inlineStr">
        <is>
          <t>원/kWh</t>
        </is>
      </c>
      <c r="C6" s="73" t="n">
        <v>5</v>
      </c>
      <c r="D6" s="84" t="inlineStr">
        <is>
          <t>2026년 3분기 +5원. 약관상 상하한 ±5원/kWh (분기별 결정)</t>
        </is>
      </c>
      <c r="E6" s="84" t="inlineStr">
        <is>
          <t>A1 별표8·S07 / 확정</t>
        </is>
      </c>
    </row>
    <row r="7" ht="30" customHeight="1" s="42">
      <c r="A7" s="83" t="inlineStr">
        <is>
          <t>부가가치세</t>
        </is>
      </c>
      <c r="B7" s="50" t="inlineStr">
        <is>
          <t>비율</t>
        </is>
      </c>
      <c r="C7" s="74" t="n">
        <v>0.1</v>
      </c>
      <c r="D7" s="83" t="inlineStr">
        <is>
          <t>전기요금 계 × 10%</t>
        </is>
      </c>
      <c r="E7" s="83" t="inlineStr">
        <is>
          <t>법정 / 확정</t>
        </is>
      </c>
    </row>
    <row r="8" ht="30" customHeight="1" s="42">
      <c r="A8" s="83" t="inlineStr">
        <is>
          <t>전력산업기반기금</t>
        </is>
      </c>
      <c r="B8" s="50" t="inlineStr">
        <is>
          <t>비율</t>
        </is>
      </c>
      <c r="C8" s="74" t="n">
        <v>0.027</v>
      </c>
      <c r="D8" s="83" t="inlineStr">
        <is>
          <t>전기요금 계 × 2.7% (2025.7~). 약관 제82조에 따라 전기요금과 병기청구</t>
        </is>
      </c>
      <c r="E8" s="84" t="inlineStr">
        <is>
          <t>A1 제82조·S09 / 확정</t>
        </is>
      </c>
    </row>
    <row r="10" ht="43.5" customHeight="1" s="42">
      <c r="A10" s="60" t="inlineStr">
        <is>
          <t>청구 구조(A1 제67조 제1항): 전기요금 = 기본요금 + 전력량요금 + 기후환경요금 ± 연료비조정요금. 여기에 부가세 10%와 전력산업기반기금 2.7%가 병기청구된다. 끝수 처리(A1 제7조): 청구금액의 10원 미만 끝수는 계산하지 않는다. 연료비조정단가는 실적연료비와 기준연료비 차이에 변환계수를 곱해 산정하되 ±5원/kWh를 넘지 못한다(별표8).</t>
        </is>
      </c>
    </row>
  </sheetData>
  <mergeCells count="1">
    <mergeCell ref="A10:E10"/>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I55"/>
  <sheetViews>
    <sheetView showFormulas="0" showGridLines="1" showRowColHeaders="1" showZeros="1" rightToLeft="0" tabSelected="0" showOutlineSymbols="1" defaultGridColor="1"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41" min="1" max="1"/>
    <col width="9" customWidth="1" style="41" min="2" max="2"/>
    <col width="7" customWidth="1" style="41" min="3" max="3"/>
    <col width="15" customWidth="1" style="41" min="4" max="4"/>
    <col width="12" customWidth="1" style="41" min="5" max="5"/>
    <col width="14" customWidth="1" style="41" min="6" max="6"/>
    <col width="18" customWidth="1" style="41" min="7" max="7"/>
    <col width="14" customWidth="1" style="41" min="8" max="8"/>
    <col width="16" customWidth="1" style="41" min="9" max="9"/>
  </cols>
  <sheetData>
    <row r="1" ht="21.6" customHeight="1" s="42">
      <c r="A1" s="43" t="inlineStr">
        <is>
          <t>일반용 전력 (갑Ⅰ / 갑Ⅱ / 을 / 보완전력)</t>
        </is>
      </c>
    </row>
    <row r="2" ht="15" customHeight="1" s="42">
      <c r="A2" s="44" t="inlineStr">
        <is>
          <t>단가: 2025.04.01 시행 요금표(S05). 2026.6.1부터 갑Ⅱ·을은 시간대 구분만 개편(단가 조정 없음, 평균 1원 미만 하락 — S02)</t>
        </is>
      </c>
    </row>
    <row r="4" ht="30" customHeight="1" s="42">
      <c r="A4" s="47" t="inlineStr">
        <is>
          <t>종별</t>
        </is>
      </c>
      <c r="B4" s="47" t="inlineStr">
        <is>
          <t>전압</t>
        </is>
      </c>
      <c r="C4" s="47" t="inlineStr">
        <is>
          <t>선택</t>
        </is>
      </c>
      <c r="D4" s="47" t="inlineStr">
        <is>
          <t>기본요금(원/kW)</t>
        </is>
      </c>
      <c r="E4" s="47" t="inlineStr">
        <is>
          <t>시간대</t>
        </is>
      </c>
      <c r="F4" s="47" t="inlineStr">
        <is>
          <t>여름(6~8월)</t>
        </is>
      </c>
      <c r="G4" s="47" t="inlineStr">
        <is>
          <t>봄·가을(3~5,9~10월)</t>
        </is>
      </c>
      <c r="H4" s="47" t="inlineStr">
        <is>
          <t>겨울(11~2월)</t>
        </is>
      </c>
      <c r="I4" s="47" t="inlineStr">
        <is>
          <t>근거 / 상태</t>
        </is>
      </c>
    </row>
    <row r="5" ht="15" customHeight="1" s="42">
      <c r="A5" s="75" t="inlineStr">
        <is>
          <t>일반용(갑)Ⅰ — 계약전력 300kW 미만, 계절별 단일요금</t>
        </is>
      </c>
      <c r="B5" s="70" t="n"/>
      <c r="C5" s="70" t="n"/>
      <c r="D5" s="70" t="n"/>
      <c r="E5" s="70" t="n"/>
      <c r="F5" s="70" t="n"/>
      <c r="G5" s="70" t="n"/>
      <c r="H5" s="70" t="n"/>
      <c r="I5" s="71" t="n"/>
    </row>
    <row r="6" ht="15" customHeight="1" s="42">
      <c r="A6" s="83" t="inlineStr">
        <is>
          <t>일반용(갑)Ⅰ</t>
        </is>
      </c>
      <c r="B6" s="50" t="inlineStr">
        <is>
          <t>저압</t>
        </is>
      </c>
      <c r="C6" s="82" t="inlineStr">
        <is>
          <t>-</t>
        </is>
      </c>
      <c r="D6" s="62" t="n">
        <v>6160</v>
      </c>
      <c r="E6" s="50" t="inlineStr">
        <is>
          <t>계절별 단일</t>
        </is>
      </c>
      <c r="F6" s="63" t="n">
        <v>132.4</v>
      </c>
      <c r="G6" s="63" t="n">
        <v>91.90000000000001</v>
      </c>
      <c r="H6" s="63" t="n">
        <v>119</v>
      </c>
      <c r="I6" s="82" t="inlineStr">
        <is>
          <t>S05 / 확정</t>
        </is>
      </c>
    </row>
    <row r="7" ht="15" customHeight="1" s="42">
      <c r="A7" s="83" t="inlineStr">
        <is>
          <t>일반용(갑)Ⅰ</t>
        </is>
      </c>
      <c r="B7" s="50" t="inlineStr">
        <is>
          <t>고압A</t>
        </is>
      </c>
      <c r="C7" s="82" t="inlineStr">
        <is>
          <t>Ⅰ</t>
        </is>
      </c>
      <c r="D7" s="62" t="n">
        <v>7170</v>
      </c>
      <c r="E7" s="50" t="inlineStr">
        <is>
          <t>계절별 단일</t>
        </is>
      </c>
      <c r="F7" s="63" t="n">
        <v>142.6</v>
      </c>
      <c r="G7" s="63" t="n">
        <v>98.59999999999999</v>
      </c>
      <c r="H7" s="63" t="n">
        <v>130.3</v>
      </c>
      <c r="I7" s="82" t="inlineStr">
        <is>
          <t>S05 / 확정</t>
        </is>
      </c>
    </row>
    <row r="8" ht="15" customHeight="1" s="42">
      <c r="A8" s="83" t="inlineStr">
        <is>
          <t>일반용(갑)Ⅰ</t>
        </is>
      </c>
      <c r="B8" s="50" t="inlineStr">
        <is>
          <t>고압A</t>
        </is>
      </c>
      <c r="C8" s="82" t="inlineStr">
        <is>
          <t>Ⅱ</t>
        </is>
      </c>
      <c r="D8" s="62" t="n">
        <v>8230</v>
      </c>
      <c r="E8" s="50" t="inlineStr">
        <is>
          <t>계절별 단일</t>
        </is>
      </c>
      <c r="F8" s="63" t="n">
        <v>138.6</v>
      </c>
      <c r="G8" s="63" t="n">
        <v>94.3</v>
      </c>
      <c r="H8" s="63" t="n">
        <v>125</v>
      </c>
      <c r="I8" s="82" t="inlineStr">
        <is>
          <t>S05 / 확정</t>
        </is>
      </c>
    </row>
    <row r="9" ht="15" customHeight="1" s="42">
      <c r="A9" s="83" t="inlineStr">
        <is>
          <t>일반용(갑)Ⅰ</t>
        </is>
      </c>
      <c r="B9" s="50" t="inlineStr">
        <is>
          <t>고압B</t>
        </is>
      </c>
      <c r="C9" s="82" t="inlineStr">
        <is>
          <t>Ⅰ</t>
        </is>
      </c>
      <c r="D9" s="62" t="n">
        <v>7170</v>
      </c>
      <c r="E9" s="50" t="inlineStr">
        <is>
          <t>계절별 단일</t>
        </is>
      </c>
      <c r="F9" s="63" t="n">
        <v>140.5</v>
      </c>
      <c r="G9" s="63" t="n">
        <v>97.5</v>
      </c>
      <c r="H9" s="63" t="n">
        <v>127.3</v>
      </c>
      <c r="I9" s="82" t="inlineStr">
        <is>
          <t>S05 / 확정</t>
        </is>
      </c>
    </row>
    <row r="10" ht="15" customHeight="1" s="42">
      <c r="A10" s="83" t="inlineStr">
        <is>
          <t>일반용(갑)Ⅰ</t>
        </is>
      </c>
      <c r="B10" s="50" t="inlineStr">
        <is>
          <t>고압B</t>
        </is>
      </c>
      <c r="C10" s="82" t="inlineStr">
        <is>
          <t>Ⅱ</t>
        </is>
      </c>
      <c r="D10" s="62" t="n">
        <v>8230</v>
      </c>
      <c r="E10" s="50" t="inlineStr">
        <is>
          <t>계절별 단일</t>
        </is>
      </c>
      <c r="F10" s="63" t="n">
        <v>135.2</v>
      </c>
      <c r="G10" s="63" t="n">
        <v>92.2</v>
      </c>
      <c r="H10" s="63" t="n">
        <v>122</v>
      </c>
      <c r="I10" s="82" t="inlineStr">
        <is>
          <t>S05 / 확정</t>
        </is>
      </c>
    </row>
    <row r="11" ht="15" customHeight="1" s="42">
      <c r="A11" s="75" t="inlineStr">
        <is>
          <t>일반용(갑)Ⅱ — 계약전력 300kW 미만, 시간대별 계량기 설치(계시별). 2026.6.1~ 개편 시간대 적용</t>
        </is>
      </c>
      <c r="B11" s="70" t="n"/>
      <c r="C11" s="70" t="n"/>
      <c r="D11" s="70" t="n"/>
      <c r="E11" s="70" t="n"/>
      <c r="F11" s="70" t="n"/>
      <c r="G11" s="70" t="n"/>
      <c r="H11" s="70" t="n"/>
      <c r="I11" s="71" t="n"/>
    </row>
    <row r="12" ht="15" customHeight="1" s="42">
      <c r="A12" s="83" t="inlineStr">
        <is>
          <t>일반용(갑)Ⅱ</t>
        </is>
      </c>
      <c r="B12" s="50" t="inlineStr">
        <is>
          <t>고압A</t>
        </is>
      </c>
      <c r="C12" s="82" t="inlineStr">
        <is>
          <t>Ⅰ</t>
        </is>
      </c>
      <c r="D12" s="62" t="n">
        <v>7170</v>
      </c>
      <c r="E12" s="56" t="inlineStr">
        <is>
          <t>경부하</t>
        </is>
      </c>
      <c r="F12" s="63" t="n">
        <v>89.40000000000001</v>
      </c>
      <c r="G12" s="63" t="n">
        <v>89.40000000000001</v>
      </c>
      <c r="H12" s="63" t="n">
        <v>98.09999999999999</v>
      </c>
      <c r="I12" s="82" t="inlineStr">
        <is>
          <t>S05 / 확정</t>
        </is>
      </c>
    </row>
    <row r="13" ht="15" customHeight="1" s="42">
      <c r="A13" s="83" t="inlineStr">
        <is>
          <t>일반용(갑)Ⅱ</t>
        </is>
      </c>
      <c r="B13" s="50" t="inlineStr">
        <is>
          <t>고압A</t>
        </is>
      </c>
      <c r="C13" s="82" t="inlineStr">
        <is>
          <t>Ⅰ</t>
        </is>
      </c>
      <c r="D13" s="62" t="n">
        <v>7170</v>
      </c>
      <c r="E13" s="57" t="inlineStr">
        <is>
          <t>중간부하</t>
        </is>
      </c>
      <c r="F13" s="63" t="n">
        <v>140.6</v>
      </c>
      <c r="G13" s="63" t="n">
        <v>96.8</v>
      </c>
      <c r="H13" s="63" t="n">
        <v>128.5</v>
      </c>
      <c r="I13" s="82" t="inlineStr">
        <is>
          <t>S05 / 확정</t>
        </is>
      </c>
    </row>
    <row r="14" ht="15" customHeight="1" s="42">
      <c r="A14" s="83" t="inlineStr">
        <is>
          <t>일반용(갑)Ⅱ</t>
        </is>
      </c>
      <c r="B14" s="50" t="inlineStr">
        <is>
          <t>고압A</t>
        </is>
      </c>
      <c r="C14" s="82" t="inlineStr">
        <is>
          <t>Ⅰ</t>
        </is>
      </c>
      <c r="D14" s="62" t="n">
        <v>7170</v>
      </c>
      <c r="E14" s="52" t="inlineStr">
        <is>
          <t>최대부하</t>
        </is>
      </c>
      <c r="F14" s="63" t="n">
        <v>163.1</v>
      </c>
      <c r="G14" s="63" t="n">
        <v>108.1</v>
      </c>
      <c r="H14" s="63" t="n">
        <v>143.3</v>
      </c>
      <c r="I14" s="82" t="inlineStr">
        <is>
          <t>S05 / 확정</t>
        </is>
      </c>
    </row>
    <row r="15" ht="15" customHeight="1" s="42">
      <c r="A15" s="83" t="inlineStr">
        <is>
          <t>일반용(갑)Ⅱ</t>
        </is>
      </c>
      <c r="B15" s="50" t="inlineStr">
        <is>
          <t>고압A</t>
        </is>
      </c>
      <c r="C15" s="82" t="inlineStr">
        <is>
          <t>Ⅱ</t>
        </is>
      </c>
      <c r="D15" s="62" t="n">
        <v>8230</v>
      </c>
      <c r="E15" s="56" t="inlineStr">
        <is>
          <t>경부하</t>
        </is>
      </c>
      <c r="F15" s="63" t="n">
        <v>84.09999999999999</v>
      </c>
      <c r="G15" s="63" t="n">
        <v>84.09999999999999</v>
      </c>
      <c r="H15" s="63" t="n">
        <v>92.8</v>
      </c>
      <c r="I15" s="82" t="inlineStr">
        <is>
          <t>S05 / 확정</t>
        </is>
      </c>
    </row>
    <row r="16" ht="15" customHeight="1" s="42">
      <c r="A16" s="83" t="inlineStr">
        <is>
          <t>일반용(갑)Ⅱ</t>
        </is>
      </c>
      <c r="B16" s="50" t="inlineStr">
        <is>
          <t>고압A</t>
        </is>
      </c>
      <c r="C16" s="82" t="inlineStr">
        <is>
          <t>Ⅱ</t>
        </is>
      </c>
      <c r="D16" s="62" t="n">
        <v>8230</v>
      </c>
      <c r="E16" s="57" t="inlineStr">
        <is>
          <t>중간부하</t>
        </is>
      </c>
      <c r="F16" s="63" t="n">
        <v>135.3</v>
      </c>
      <c r="G16" s="63" t="n">
        <v>91.5</v>
      </c>
      <c r="H16" s="63" t="n">
        <v>123.2</v>
      </c>
      <c r="I16" s="82" t="inlineStr">
        <is>
          <t>S05 / 확정</t>
        </is>
      </c>
    </row>
    <row r="17" ht="15" customHeight="1" s="42">
      <c r="A17" s="83" t="inlineStr">
        <is>
          <t>일반용(갑)Ⅱ</t>
        </is>
      </c>
      <c r="B17" s="50" t="inlineStr">
        <is>
          <t>고압A</t>
        </is>
      </c>
      <c r="C17" s="82" t="inlineStr">
        <is>
          <t>Ⅱ</t>
        </is>
      </c>
      <c r="D17" s="62" t="n">
        <v>8230</v>
      </c>
      <c r="E17" s="52" t="inlineStr">
        <is>
          <t>최대부하</t>
        </is>
      </c>
      <c r="F17" s="63" t="n">
        <v>157.8</v>
      </c>
      <c r="G17" s="63" t="n">
        <v>102.8</v>
      </c>
      <c r="H17" s="63" t="n">
        <v>138</v>
      </c>
      <c r="I17" s="82" t="inlineStr">
        <is>
          <t>S05 / 확정</t>
        </is>
      </c>
    </row>
    <row r="18" ht="15" customHeight="1" s="42">
      <c r="A18" s="83" t="inlineStr">
        <is>
          <t>일반용(갑)Ⅱ</t>
        </is>
      </c>
      <c r="B18" s="50" t="inlineStr">
        <is>
          <t>고압B</t>
        </is>
      </c>
      <c r="C18" s="82" t="inlineStr">
        <is>
          <t>Ⅰ</t>
        </is>
      </c>
      <c r="D18" s="62" t="n">
        <v>7170</v>
      </c>
      <c r="E18" s="56" t="inlineStr">
        <is>
          <t>경부하</t>
        </is>
      </c>
      <c r="F18" s="63" t="n">
        <v>88.8</v>
      </c>
      <c r="G18" s="63" t="n">
        <v>88.8</v>
      </c>
      <c r="H18" s="63" t="n">
        <v>97.8</v>
      </c>
      <c r="I18" s="82" t="inlineStr">
        <is>
          <t>S05 / 확정</t>
        </is>
      </c>
    </row>
    <row r="19" ht="15" customHeight="1" s="42">
      <c r="A19" s="83" t="inlineStr">
        <is>
          <t>일반용(갑)Ⅱ</t>
        </is>
      </c>
      <c r="B19" s="50" t="inlineStr">
        <is>
          <t>고압B</t>
        </is>
      </c>
      <c r="C19" s="82" t="inlineStr">
        <is>
          <t>Ⅰ</t>
        </is>
      </c>
      <c r="D19" s="62" t="n">
        <v>7170</v>
      </c>
      <c r="E19" s="57" t="inlineStr">
        <is>
          <t>중간부하</t>
        </is>
      </c>
      <c r="F19" s="63" t="n">
        <v>137.4</v>
      </c>
      <c r="G19" s="63" t="n">
        <v>94.7</v>
      </c>
      <c r="H19" s="63" t="n">
        <v>125.1</v>
      </c>
      <c r="I19" s="82" t="inlineStr">
        <is>
          <t>S05 / 확정</t>
        </is>
      </c>
    </row>
    <row r="20" ht="15" customHeight="1" s="42">
      <c r="A20" s="83" t="inlineStr">
        <is>
          <t>일반용(갑)Ⅱ</t>
        </is>
      </c>
      <c r="B20" s="50" t="inlineStr">
        <is>
          <t>고압B</t>
        </is>
      </c>
      <c r="C20" s="82" t="inlineStr">
        <is>
          <t>Ⅰ</t>
        </is>
      </c>
      <c r="D20" s="62" t="n">
        <v>7170</v>
      </c>
      <c r="E20" s="52" t="inlineStr">
        <is>
          <t>최대부하</t>
        </is>
      </c>
      <c r="F20" s="63" t="n">
        <v>153.8</v>
      </c>
      <c r="G20" s="63" t="n">
        <v>100.1</v>
      </c>
      <c r="H20" s="63" t="n">
        <v>139.3</v>
      </c>
      <c r="I20" s="82" t="inlineStr">
        <is>
          <t>S05 / 확정</t>
        </is>
      </c>
    </row>
    <row r="21" ht="15" customHeight="1" s="42">
      <c r="A21" s="83" t="inlineStr">
        <is>
          <t>일반용(갑)Ⅱ</t>
        </is>
      </c>
      <c r="B21" s="50" t="inlineStr">
        <is>
          <t>고압B</t>
        </is>
      </c>
      <c r="C21" s="82" t="inlineStr">
        <is>
          <t>Ⅱ</t>
        </is>
      </c>
      <c r="D21" s="62" t="n">
        <v>8230</v>
      </c>
      <c r="E21" s="56" t="inlineStr">
        <is>
          <t>경부하</t>
        </is>
      </c>
      <c r="F21" s="63" t="n">
        <v>83.5</v>
      </c>
      <c r="G21" s="63" t="n">
        <v>83.5</v>
      </c>
      <c r="H21" s="63" t="n">
        <v>92.5</v>
      </c>
      <c r="I21" s="82" t="inlineStr">
        <is>
          <t>S05 / 확정</t>
        </is>
      </c>
    </row>
    <row r="22" ht="15" customHeight="1" s="42">
      <c r="A22" s="83" t="inlineStr">
        <is>
          <t>일반용(갑)Ⅱ</t>
        </is>
      </c>
      <c r="B22" s="50" t="inlineStr">
        <is>
          <t>고압B</t>
        </is>
      </c>
      <c r="C22" s="82" t="inlineStr">
        <is>
          <t>Ⅱ</t>
        </is>
      </c>
      <c r="D22" s="62" t="n">
        <v>8230</v>
      </c>
      <c r="E22" s="57" t="inlineStr">
        <is>
          <t>중간부하</t>
        </is>
      </c>
      <c r="F22" s="63" t="n">
        <v>132.1</v>
      </c>
      <c r="G22" s="63" t="n">
        <v>89.40000000000001</v>
      </c>
      <c r="H22" s="63" t="n">
        <v>119.8</v>
      </c>
      <c r="I22" s="82" t="inlineStr">
        <is>
          <t>S05 / 확정</t>
        </is>
      </c>
    </row>
    <row r="23" ht="15" customHeight="1" s="42">
      <c r="A23" s="83" t="inlineStr">
        <is>
          <t>일반용(갑)Ⅱ</t>
        </is>
      </c>
      <c r="B23" s="50" t="inlineStr">
        <is>
          <t>고압B</t>
        </is>
      </c>
      <c r="C23" s="82" t="inlineStr">
        <is>
          <t>Ⅱ</t>
        </is>
      </c>
      <c r="D23" s="62" t="n">
        <v>8230</v>
      </c>
      <c r="E23" s="52" t="inlineStr">
        <is>
          <t>최대부하</t>
        </is>
      </c>
      <c r="F23" s="63" t="n">
        <v>148.5</v>
      </c>
      <c r="G23" s="63" t="n">
        <v>94.8</v>
      </c>
      <c r="H23" s="63" t="n">
        <v>134</v>
      </c>
      <c r="I23" s="82" t="inlineStr">
        <is>
          <t>S05 / 확정</t>
        </is>
      </c>
    </row>
    <row r="24" ht="15" customHeight="1" s="42">
      <c r="A24" s="75" t="inlineStr">
        <is>
          <t>일반용(갑)Ⅱ 선택(Ⅲ)·(Ⅳ) — 2026.6.1 신설, 계시별이 아닌 계절별 단일요금 (A1 별표1·부칙 2026.5.22)</t>
        </is>
      </c>
      <c r="B24" s="70" t="n"/>
      <c r="C24" s="70" t="n"/>
      <c r="D24" s="70" t="n"/>
      <c r="E24" s="70" t="n"/>
      <c r="F24" s="70" t="n"/>
      <c r="G24" s="70" t="n"/>
      <c r="H24" s="70" t="n"/>
      <c r="I24" s="71" t="n"/>
    </row>
    <row r="25" ht="15" customHeight="1" s="42">
      <c r="A25" s="83" t="inlineStr">
        <is>
          <t>일반용(갑)Ⅱ</t>
        </is>
      </c>
      <c r="B25" s="50" t="inlineStr">
        <is>
          <t>고압A</t>
        </is>
      </c>
      <c r="C25" s="82" t="inlineStr">
        <is>
          <t>Ⅲ</t>
        </is>
      </c>
      <c r="D25" s="62" t="n">
        <v>7170</v>
      </c>
      <c r="E25" s="50" t="inlineStr">
        <is>
          <t>계절별 단일</t>
        </is>
      </c>
      <c r="F25" s="63" t="n">
        <v>142.6</v>
      </c>
      <c r="G25" s="63" t="n">
        <v>98.59999999999999</v>
      </c>
      <c r="H25" s="63" t="n">
        <v>130.3</v>
      </c>
      <c r="I25" s="82" t="inlineStr">
        <is>
          <t>A1 별표1 / 확정</t>
        </is>
      </c>
    </row>
    <row r="26" ht="15" customHeight="1" s="42">
      <c r="A26" s="83" t="inlineStr">
        <is>
          <t>일반용(갑)Ⅱ</t>
        </is>
      </c>
      <c r="B26" s="50" t="inlineStr">
        <is>
          <t>고압A</t>
        </is>
      </c>
      <c r="C26" s="82" t="inlineStr">
        <is>
          <t>Ⅳ</t>
        </is>
      </c>
      <c r="D26" s="62" t="n">
        <v>8230</v>
      </c>
      <c r="E26" s="50" t="inlineStr">
        <is>
          <t>계절별 단일</t>
        </is>
      </c>
      <c r="F26" s="63" t="n">
        <v>138.6</v>
      </c>
      <c r="G26" s="63" t="n">
        <v>94.3</v>
      </c>
      <c r="H26" s="63" t="n">
        <v>125</v>
      </c>
      <c r="I26" s="82" t="inlineStr">
        <is>
          <t>A1 별표1 / 확정</t>
        </is>
      </c>
    </row>
    <row r="27" ht="15" customHeight="1" s="42">
      <c r="A27" s="83" t="inlineStr">
        <is>
          <t>일반용(갑)Ⅱ</t>
        </is>
      </c>
      <c r="B27" s="50" t="inlineStr">
        <is>
          <t>고압B</t>
        </is>
      </c>
      <c r="C27" s="82" t="inlineStr">
        <is>
          <t>Ⅲ</t>
        </is>
      </c>
      <c r="D27" s="62" t="n">
        <v>7170</v>
      </c>
      <c r="E27" s="50" t="inlineStr">
        <is>
          <t>계절별 단일</t>
        </is>
      </c>
      <c r="F27" s="63" t="n">
        <v>140.5</v>
      </c>
      <c r="G27" s="63" t="n">
        <v>97.5</v>
      </c>
      <c r="H27" s="63" t="n">
        <v>127.3</v>
      </c>
      <c r="I27" s="82" t="inlineStr">
        <is>
          <t>A1 별표1 / 확정</t>
        </is>
      </c>
    </row>
    <row r="28" ht="15" customHeight="1" s="42">
      <c r="A28" s="83" t="inlineStr">
        <is>
          <t>일반용(갑)Ⅱ</t>
        </is>
      </c>
      <c r="B28" s="50" t="inlineStr">
        <is>
          <t>고압B</t>
        </is>
      </c>
      <c r="C28" s="82" t="inlineStr">
        <is>
          <t>Ⅳ</t>
        </is>
      </c>
      <c r="D28" s="62" t="n">
        <v>8230</v>
      </c>
      <c r="E28" s="50" t="inlineStr">
        <is>
          <t>계절별 단일</t>
        </is>
      </c>
      <c r="F28" s="63" t="n">
        <v>135.2</v>
      </c>
      <c r="G28" s="63" t="n">
        <v>92.2</v>
      </c>
      <c r="H28" s="63" t="n">
        <v>122</v>
      </c>
      <c r="I28" s="82" t="inlineStr">
        <is>
          <t>A1 별표1 / 확정</t>
        </is>
      </c>
    </row>
    <row r="29" ht="39.75" customHeight="1" s="42">
      <c r="A29" s="60" t="inlineStr">
        <is>
          <t>선택Ⅲ·Ⅳ는 시간대 이동이 어려운 고객을 위한 계절별 단일요금(갑Ⅰ과 동일 단가). 2026년 6~11월분은 기존 선택Ⅰ↔Ⅲ, 선택Ⅱ↔Ⅳ를 비교해 낮은 요금을 자동 적용하고, 고객이 신청한 선택Ⅲ·Ⅳ는 2026년 12월분부터 적용(A1 부칙 2026.5.22).</t>
        </is>
      </c>
    </row>
    <row r="30" ht="15" customHeight="1" s="42">
      <c r="A30" s="75" t="inlineStr">
        <is>
          <t>일반용(을) — 계약전력 300kW 이상, 계시별 필수. 2026.6.1~ 개편 시간대 적용</t>
        </is>
      </c>
      <c r="B30" s="70" t="n"/>
      <c r="C30" s="70" t="n"/>
      <c r="D30" s="70" t="n"/>
      <c r="E30" s="70" t="n"/>
      <c r="F30" s="70" t="n"/>
      <c r="G30" s="70" t="n"/>
      <c r="H30" s="70" t="n"/>
      <c r="I30" s="71" t="n"/>
    </row>
    <row r="31" ht="15" customHeight="1" s="42">
      <c r="A31" s="83" t="inlineStr">
        <is>
          <t>일반용(을)</t>
        </is>
      </c>
      <c r="B31" s="50" t="inlineStr">
        <is>
          <t>고압A</t>
        </is>
      </c>
      <c r="C31" s="82" t="inlineStr">
        <is>
          <t>Ⅰ</t>
        </is>
      </c>
      <c r="D31" s="62" t="n">
        <v>7220</v>
      </c>
      <c r="E31" s="56" t="inlineStr">
        <is>
          <t>경부하</t>
        </is>
      </c>
      <c r="F31" s="63" t="n">
        <v>92.8</v>
      </c>
      <c r="G31" s="63" t="n">
        <v>92.8</v>
      </c>
      <c r="H31" s="63" t="n">
        <v>99.8</v>
      </c>
      <c r="I31" s="82" t="inlineStr">
        <is>
          <t>S05 / 확정</t>
        </is>
      </c>
    </row>
    <row r="32" ht="15" customHeight="1" s="42">
      <c r="A32" s="83" t="inlineStr">
        <is>
          <t>일반용(을)</t>
        </is>
      </c>
      <c r="B32" s="50" t="inlineStr">
        <is>
          <t>고압A</t>
        </is>
      </c>
      <c r="C32" s="82" t="inlineStr">
        <is>
          <t>Ⅰ</t>
        </is>
      </c>
      <c r="D32" s="62" t="n">
        <v>7220</v>
      </c>
      <c r="E32" s="57" t="inlineStr">
        <is>
          <t>중간부하</t>
        </is>
      </c>
      <c r="F32" s="63" t="n">
        <v>145.7</v>
      </c>
      <c r="G32" s="63" t="n">
        <v>115.3</v>
      </c>
      <c r="H32" s="63" t="n">
        <v>145.9</v>
      </c>
      <c r="I32" s="82" t="inlineStr">
        <is>
          <t>S05 / 확정</t>
        </is>
      </c>
    </row>
    <row r="33" ht="15" customHeight="1" s="42">
      <c r="A33" s="83" t="inlineStr">
        <is>
          <t>일반용(을)</t>
        </is>
      </c>
      <c r="B33" s="50" t="inlineStr">
        <is>
          <t>고압A</t>
        </is>
      </c>
      <c r="C33" s="82" t="inlineStr">
        <is>
          <t>Ⅰ</t>
        </is>
      </c>
      <c r="D33" s="62" t="n">
        <v>7220</v>
      </c>
      <c r="E33" s="52" t="inlineStr">
        <is>
          <t>최대부하</t>
        </is>
      </c>
      <c r="F33" s="63" t="n">
        <v>227.8</v>
      </c>
      <c r="G33" s="63" t="n">
        <v>146</v>
      </c>
      <c r="H33" s="63" t="n">
        <v>203.4</v>
      </c>
      <c r="I33" s="82" t="inlineStr">
        <is>
          <t>S05 / 확정</t>
        </is>
      </c>
    </row>
    <row r="34" ht="15" customHeight="1" s="42">
      <c r="A34" s="83" t="inlineStr">
        <is>
          <t>일반용(을)</t>
        </is>
      </c>
      <c r="B34" s="50" t="inlineStr">
        <is>
          <t>고압A</t>
        </is>
      </c>
      <c r="C34" s="82" t="inlineStr">
        <is>
          <t>Ⅱ</t>
        </is>
      </c>
      <c r="D34" s="62" t="n">
        <v>8320</v>
      </c>
      <c r="E34" s="56" t="inlineStr">
        <is>
          <t>경부하</t>
        </is>
      </c>
      <c r="F34" s="63" t="n">
        <v>87.3</v>
      </c>
      <c r="G34" s="63" t="n">
        <v>87.3</v>
      </c>
      <c r="H34" s="63" t="n">
        <v>94.3</v>
      </c>
      <c r="I34" s="82" t="inlineStr">
        <is>
          <t>S05 / 확정</t>
        </is>
      </c>
    </row>
    <row r="35" ht="15" customHeight="1" s="42">
      <c r="A35" s="83" t="inlineStr">
        <is>
          <t>일반용(을)</t>
        </is>
      </c>
      <c r="B35" s="50" t="inlineStr">
        <is>
          <t>고압A</t>
        </is>
      </c>
      <c r="C35" s="82" t="inlineStr">
        <is>
          <t>Ⅱ</t>
        </is>
      </c>
      <c r="D35" s="62" t="n">
        <v>8320</v>
      </c>
      <c r="E35" s="57" t="inlineStr">
        <is>
          <t>중간부하</t>
        </is>
      </c>
      <c r="F35" s="63" t="n">
        <v>140.2</v>
      </c>
      <c r="G35" s="63" t="n">
        <v>109.8</v>
      </c>
      <c r="H35" s="63" t="n">
        <v>140.4</v>
      </c>
      <c r="I35" s="82" t="inlineStr">
        <is>
          <t>S05 / 확정</t>
        </is>
      </c>
    </row>
    <row r="36" ht="15" customHeight="1" s="42">
      <c r="A36" s="83" t="inlineStr">
        <is>
          <t>일반용(을)</t>
        </is>
      </c>
      <c r="B36" s="50" t="inlineStr">
        <is>
          <t>고압A</t>
        </is>
      </c>
      <c r="C36" s="82" t="inlineStr">
        <is>
          <t>Ⅱ</t>
        </is>
      </c>
      <c r="D36" s="62" t="n">
        <v>8320</v>
      </c>
      <c r="E36" s="52" t="inlineStr">
        <is>
          <t>최대부하</t>
        </is>
      </c>
      <c r="F36" s="63" t="n">
        <v>222.3</v>
      </c>
      <c r="G36" s="63" t="n">
        <v>140.5</v>
      </c>
      <c r="H36" s="63" t="n">
        <v>197.9</v>
      </c>
      <c r="I36" s="82" t="inlineStr">
        <is>
          <t>S05 / 확정</t>
        </is>
      </c>
    </row>
    <row r="37" ht="15" customHeight="1" s="42">
      <c r="A37" s="83" t="inlineStr">
        <is>
          <t>일반용(을)</t>
        </is>
      </c>
      <c r="B37" s="50" t="inlineStr">
        <is>
          <t>고압A</t>
        </is>
      </c>
      <c r="C37" s="82" t="inlineStr">
        <is>
          <t>Ⅲ</t>
        </is>
      </c>
      <c r="D37" s="62" t="n">
        <v>9810</v>
      </c>
      <c r="E37" s="56" t="inlineStr">
        <is>
          <t>경부하</t>
        </is>
      </c>
      <c r="F37" s="63" t="n">
        <v>86.40000000000001</v>
      </c>
      <c r="G37" s="63" t="n">
        <v>86.40000000000001</v>
      </c>
      <c r="H37" s="63" t="n">
        <v>93.7</v>
      </c>
      <c r="I37" s="82" t="inlineStr">
        <is>
          <t>S05 / 확정</t>
        </is>
      </c>
    </row>
    <row r="38" ht="15" customHeight="1" s="42">
      <c r="A38" s="83" t="inlineStr">
        <is>
          <t>일반용(을)</t>
        </is>
      </c>
      <c r="B38" s="50" t="inlineStr">
        <is>
          <t>고압A</t>
        </is>
      </c>
      <c r="C38" s="82" t="inlineStr">
        <is>
          <t>Ⅲ</t>
        </is>
      </c>
      <c r="D38" s="62" t="n">
        <v>9810</v>
      </c>
      <c r="E38" s="57" t="inlineStr">
        <is>
          <t>중간부하</t>
        </is>
      </c>
      <c r="F38" s="63" t="n">
        <v>139.6</v>
      </c>
      <c r="G38" s="63" t="n">
        <v>108.5</v>
      </c>
      <c r="H38" s="63" t="n">
        <v>139.8</v>
      </c>
      <c r="I38" s="82" t="inlineStr">
        <is>
          <t>S05 / 확정</t>
        </is>
      </c>
    </row>
    <row r="39" ht="15" customHeight="1" s="42">
      <c r="A39" s="83" t="inlineStr">
        <is>
          <t>일반용(을)</t>
        </is>
      </c>
      <c r="B39" s="50" t="inlineStr">
        <is>
          <t>고압A</t>
        </is>
      </c>
      <c r="C39" s="82" t="inlineStr">
        <is>
          <t>Ⅲ</t>
        </is>
      </c>
      <c r="D39" s="62" t="n">
        <v>9810</v>
      </c>
      <c r="E39" s="52" t="inlineStr">
        <is>
          <t>최대부하</t>
        </is>
      </c>
      <c r="F39" s="63" t="n">
        <v>209.9</v>
      </c>
      <c r="G39" s="63" t="n">
        <v>132.2</v>
      </c>
      <c r="H39" s="63" t="n">
        <v>186.7</v>
      </c>
      <c r="I39" s="82" t="inlineStr">
        <is>
          <t>S05 / 확정</t>
        </is>
      </c>
    </row>
    <row r="40" ht="15" customHeight="1" s="42">
      <c r="A40" s="83" t="inlineStr">
        <is>
          <t>일반용(을)</t>
        </is>
      </c>
      <c r="B40" s="50" t="inlineStr">
        <is>
          <t>고압B</t>
        </is>
      </c>
      <c r="C40" s="82" t="inlineStr">
        <is>
          <t>Ⅰ</t>
        </is>
      </c>
      <c r="D40" s="62" t="n">
        <v>6630</v>
      </c>
      <c r="E40" s="56" t="inlineStr">
        <is>
          <t>경부하</t>
        </is>
      </c>
      <c r="F40" s="63" t="n">
        <v>95.90000000000001</v>
      </c>
      <c r="G40" s="63" t="n">
        <v>95.90000000000001</v>
      </c>
      <c r="H40" s="63" t="n">
        <v>102.9</v>
      </c>
      <c r="I40" s="82" t="inlineStr">
        <is>
          <t>S05 / 확정</t>
        </is>
      </c>
    </row>
    <row r="41" ht="15" customHeight="1" s="42">
      <c r="A41" s="83" t="inlineStr">
        <is>
          <t>일반용(을)</t>
        </is>
      </c>
      <c r="B41" s="50" t="inlineStr">
        <is>
          <t>고압B</t>
        </is>
      </c>
      <c r="C41" s="82" t="inlineStr">
        <is>
          <t>Ⅰ</t>
        </is>
      </c>
      <c r="D41" s="62" t="n">
        <v>6630</v>
      </c>
      <c r="E41" s="57" t="inlineStr">
        <is>
          <t>중간부하</t>
        </is>
      </c>
      <c r="F41" s="63" t="n">
        <v>148.2</v>
      </c>
      <c r="G41" s="63" t="n">
        <v>118.2</v>
      </c>
      <c r="H41" s="63" t="n">
        <v>148.2</v>
      </c>
      <c r="I41" s="82" t="inlineStr">
        <is>
          <t>S05 / 확정</t>
        </is>
      </c>
    </row>
    <row r="42" ht="15" customHeight="1" s="42">
      <c r="A42" s="83" t="inlineStr">
        <is>
          <t>일반용(을)</t>
        </is>
      </c>
      <c r="B42" s="50" t="inlineStr">
        <is>
          <t>고압B</t>
        </is>
      </c>
      <c r="C42" s="82" t="inlineStr">
        <is>
          <t>Ⅰ</t>
        </is>
      </c>
      <c r="D42" s="62" t="n">
        <v>6630</v>
      </c>
      <c r="E42" s="52" t="inlineStr">
        <is>
          <t>최대부하</t>
        </is>
      </c>
      <c r="F42" s="63" t="n">
        <v>229.4</v>
      </c>
      <c r="G42" s="63" t="n">
        <v>148.5</v>
      </c>
      <c r="H42" s="63" t="n">
        <v>204.4</v>
      </c>
      <c r="I42" s="82" t="inlineStr">
        <is>
          <t>S05 / 확정</t>
        </is>
      </c>
    </row>
    <row r="43" ht="15" customHeight="1" s="42">
      <c r="A43" s="83" t="inlineStr">
        <is>
          <t>일반용(을)</t>
        </is>
      </c>
      <c r="B43" s="50" t="inlineStr">
        <is>
          <t>고압B</t>
        </is>
      </c>
      <c r="C43" s="82" t="inlineStr">
        <is>
          <t>Ⅱ</t>
        </is>
      </c>
      <c r="D43" s="62" t="n">
        <v>7380</v>
      </c>
      <c r="E43" s="56" t="inlineStr">
        <is>
          <t>경부하</t>
        </is>
      </c>
      <c r="F43" s="63" t="n">
        <v>92.09999999999999</v>
      </c>
      <c r="G43" s="63" t="n">
        <v>92.09999999999999</v>
      </c>
      <c r="H43" s="63" t="n">
        <v>99.09999999999999</v>
      </c>
      <c r="I43" s="82" t="inlineStr">
        <is>
          <t>S05 / 확정</t>
        </is>
      </c>
    </row>
    <row r="44" ht="15" customHeight="1" s="42">
      <c r="A44" s="83" t="inlineStr">
        <is>
          <t>일반용(을)</t>
        </is>
      </c>
      <c r="B44" s="50" t="inlineStr">
        <is>
          <t>고압B</t>
        </is>
      </c>
      <c r="C44" s="82" t="inlineStr">
        <is>
          <t>Ⅱ</t>
        </is>
      </c>
      <c r="D44" s="62" t="n">
        <v>7380</v>
      </c>
      <c r="E44" s="57" t="inlineStr">
        <is>
          <t>중간부하</t>
        </is>
      </c>
      <c r="F44" s="63" t="n">
        <v>144.4</v>
      </c>
      <c r="G44" s="63" t="n">
        <v>114.4</v>
      </c>
      <c r="H44" s="63" t="n">
        <v>144.4</v>
      </c>
      <c r="I44" s="82" t="inlineStr">
        <is>
          <t>S05 / 확정</t>
        </is>
      </c>
    </row>
    <row r="45" ht="15" customHeight="1" s="42">
      <c r="A45" s="83" t="inlineStr">
        <is>
          <t>일반용(을)</t>
        </is>
      </c>
      <c r="B45" s="50" t="inlineStr">
        <is>
          <t>고압B</t>
        </is>
      </c>
      <c r="C45" s="82" t="inlineStr">
        <is>
          <t>Ⅱ</t>
        </is>
      </c>
      <c r="D45" s="62" t="n">
        <v>7380</v>
      </c>
      <c r="E45" s="52" t="inlineStr">
        <is>
          <t>최대부하</t>
        </is>
      </c>
      <c r="F45" s="63" t="n">
        <v>225.6</v>
      </c>
      <c r="G45" s="63" t="n">
        <v>144.7</v>
      </c>
      <c r="H45" s="63" t="n">
        <v>200.6</v>
      </c>
      <c r="I45" s="82" t="inlineStr">
        <is>
          <t>S05 / 확정</t>
        </is>
      </c>
    </row>
    <row r="46" ht="15" customHeight="1" s="42">
      <c r="A46" s="83" t="inlineStr">
        <is>
          <t>일반용(을)</t>
        </is>
      </c>
      <c r="B46" s="50" t="inlineStr">
        <is>
          <t>고압B</t>
        </is>
      </c>
      <c r="C46" s="82" t="inlineStr">
        <is>
          <t>Ⅲ</t>
        </is>
      </c>
      <c r="D46" s="62" t="n">
        <v>8190</v>
      </c>
      <c r="E46" s="56" t="inlineStr">
        <is>
          <t>경부하</t>
        </is>
      </c>
      <c r="F46" s="63" t="n">
        <v>90.40000000000001</v>
      </c>
      <c r="G46" s="63" t="n">
        <v>90.40000000000001</v>
      </c>
      <c r="H46" s="63" t="n">
        <v>97.5</v>
      </c>
      <c r="I46" s="82" t="inlineStr">
        <is>
          <t>S05 / 확정</t>
        </is>
      </c>
    </row>
    <row r="47" ht="15" customHeight="1" s="42">
      <c r="A47" s="83" t="inlineStr">
        <is>
          <t>일반용(을)</t>
        </is>
      </c>
      <c r="B47" s="50" t="inlineStr">
        <is>
          <t>고압B</t>
        </is>
      </c>
      <c r="C47" s="82" t="inlineStr">
        <is>
          <t>Ⅲ</t>
        </is>
      </c>
      <c r="D47" s="62" t="n">
        <v>8190</v>
      </c>
      <c r="E47" s="57" t="inlineStr">
        <is>
          <t>중간부하</t>
        </is>
      </c>
      <c r="F47" s="63" t="n">
        <v>142.7</v>
      </c>
      <c r="G47" s="63" t="n">
        <v>112.8</v>
      </c>
      <c r="H47" s="63" t="n">
        <v>142.7</v>
      </c>
      <c r="I47" s="82" t="inlineStr">
        <is>
          <t>S05 / 확정</t>
        </is>
      </c>
    </row>
    <row r="48" ht="15" customHeight="1" s="42">
      <c r="A48" s="83" t="inlineStr">
        <is>
          <t>일반용(을)</t>
        </is>
      </c>
      <c r="B48" s="50" t="inlineStr">
        <is>
          <t>고압B</t>
        </is>
      </c>
      <c r="C48" s="82" t="inlineStr">
        <is>
          <t>Ⅲ</t>
        </is>
      </c>
      <c r="D48" s="62" t="n">
        <v>8190</v>
      </c>
      <c r="E48" s="52" t="inlineStr">
        <is>
          <t>최대부하</t>
        </is>
      </c>
      <c r="F48" s="63" t="n">
        <v>224</v>
      </c>
      <c r="G48" s="63" t="n">
        <v>143.1</v>
      </c>
      <c r="H48" s="63" t="n">
        <v>198.9</v>
      </c>
      <c r="I48" s="82" t="inlineStr">
        <is>
          <t>S05 / 확정</t>
        </is>
      </c>
    </row>
    <row r="49" ht="15" customHeight="1" s="42">
      <c r="A49" s="75" t="inlineStr">
        <is>
          <t>일반용 보완전력 — 자가발전 고객의 보완 공급. 현행 단가 미확인: 2026.8.1판 약관 별표1·시행세칙 어디에도 보완전력 항목이 없음(선택공급약관 소관). 아래 값은 2025.04 요금표 전재자료(S05) 기준</t>
        </is>
      </c>
      <c r="B49" s="70" t="n"/>
      <c r="C49" s="70" t="n"/>
      <c r="D49" s="70" t="n"/>
      <c r="E49" s="70" t="n"/>
      <c r="F49" s="70" t="n"/>
      <c r="G49" s="70" t="n"/>
      <c r="H49" s="70" t="n"/>
      <c r="I49" s="71" t="n"/>
    </row>
    <row r="50" ht="15" customHeight="1" s="42">
      <c r="A50" s="83" t="inlineStr">
        <is>
          <t>일반용 보완</t>
        </is>
      </c>
      <c r="B50" s="50" t="inlineStr">
        <is>
          <t>고압A</t>
        </is>
      </c>
      <c r="C50" s="82" t="inlineStr">
        <is>
          <t>-</t>
        </is>
      </c>
      <c r="D50" s="62" t="n">
        <v>5310</v>
      </c>
      <c r="E50" s="56" t="inlineStr">
        <is>
          <t>경부하</t>
        </is>
      </c>
      <c r="F50" s="63" t="n">
        <v>102.3</v>
      </c>
      <c r="G50" s="63" t="n">
        <v>102.3</v>
      </c>
      <c r="H50" s="63" t="n">
        <v>102.3</v>
      </c>
      <c r="I50" s="86" t="inlineStr">
        <is>
          <t>S05 / 확인필요(선택공급약관 소관)</t>
        </is>
      </c>
    </row>
    <row r="51" ht="15" customHeight="1" s="42">
      <c r="A51" s="83" t="inlineStr">
        <is>
          <t>일반용 보완</t>
        </is>
      </c>
      <c r="B51" s="50" t="inlineStr">
        <is>
          <t>고압A</t>
        </is>
      </c>
      <c r="C51" s="82" t="inlineStr">
        <is>
          <t>-</t>
        </is>
      </c>
      <c r="D51" s="62" t="n">
        <v>5310</v>
      </c>
      <c r="E51" s="57" t="inlineStr">
        <is>
          <t>중간부하</t>
        </is>
      </c>
      <c r="F51" s="63" t="n">
        <v>135</v>
      </c>
      <c r="G51" s="63" t="n">
        <v>107.7</v>
      </c>
      <c r="H51" s="63" t="n">
        <v>119</v>
      </c>
      <c r="I51" s="86" t="inlineStr">
        <is>
          <t>S05 / 확인필요(선택공급약관 소관)</t>
        </is>
      </c>
    </row>
    <row r="52" ht="15" customHeight="1" s="42">
      <c r="A52" s="83" t="inlineStr">
        <is>
          <t>일반용 보완</t>
        </is>
      </c>
      <c r="B52" s="50" t="inlineStr">
        <is>
          <t>고압A</t>
        </is>
      </c>
      <c r="C52" s="82" t="inlineStr">
        <is>
          <t>-</t>
        </is>
      </c>
      <c r="D52" s="62" t="n">
        <v>5310</v>
      </c>
      <c r="E52" s="52" t="inlineStr">
        <is>
          <t>최대부하</t>
        </is>
      </c>
      <c r="F52" s="63" t="n">
        <v>183.6</v>
      </c>
      <c r="G52" s="63" t="n">
        <v>121.7</v>
      </c>
      <c r="H52" s="63" t="n">
        <v>138.5</v>
      </c>
      <c r="I52" s="86" t="inlineStr">
        <is>
          <t>S05 / 확인필요(선택공급약관 소관)</t>
        </is>
      </c>
    </row>
    <row r="53" ht="15" customHeight="1" s="42">
      <c r="A53" s="83" t="inlineStr">
        <is>
          <t>일반용 보완</t>
        </is>
      </c>
      <c r="B53" s="50" t="inlineStr">
        <is>
          <t>고압B</t>
        </is>
      </c>
      <c r="C53" s="82" t="inlineStr">
        <is>
          <t>-</t>
        </is>
      </c>
      <c r="D53" s="62" t="n">
        <v>4910</v>
      </c>
      <c r="E53" s="56" t="inlineStr">
        <is>
          <t>경부하</t>
        </is>
      </c>
      <c r="F53" s="63" t="n">
        <v>98.09999999999999</v>
      </c>
      <c r="G53" s="63" t="n">
        <v>98.09999999999999</v>
      </c>
      <c r="H53" s="63" t="n">
        <v>98.09999999999999</v>
      </c>
      <c r="I53" s="86" t="inlineStr">
        <is>
          <t>S05 / 확인필요(선택공급약관 소관)</t>
        </is>
      </c>
    </row>
    <row r="54" ht="15" customHeight="1" s="42">
      <c r="A54" s="83" t="inlineStr">
        <is>
          <t>일반용 보완</t>
        </is>
      </c>
      <c r="B54" s="50" t="inlineStr">
        <is>
          <t>고압B</t>
        </is>
      </c>
      <c r="C54" s="82" t="inlineStr">
        <is>
          <t>-</t>
        </is>
      </c>
      <c r="D54" s="62" t="n">
        <v>4910</v>
      </c>
      <c r="E54" s="57" t="inlineStr">
        <is>
          <t>중간부하</t>
        </is>
      </c>
      <c r="F54" s="63" t="n">
        <v>128.9</v>
      </c>
      <c r="G54" s="63" t="n">
        <v>103.9</v>
      </c>
      <c r="H54" s="63" t="n">
        <v>112.2</v>
      </c>
      <c r="I54" s="86" t="inlineStr">
        <is>
          <t>S05 / 확인필요(선택공급약관 소관)</t>
        </is>
      </c>
    </row>
    <row r="55" ht="15" customHeight="1" s="42">
      <c r="A55" s="83" t="inlineStr">
        <is>
          <t>일반용 보완</t>
        </is>
      </c>
      <c r="B55" s="50" t="inlineStr">
        <is>
          <t>고압B</t>
        </is>
      </c>
      <c r="C55" s="82" t="inlineStr">
        <is>
          <t>-</t>
        </is>
      </c>
      <c r="D55" s="62" t="n">
        <v>4910</v>
      </c>
      <c r="E55" s="52" t="inlineStr">
        <is>
          <t>최대부하</t>
        </is>
      </c>
      <c r="F55" s="63" t="n">
        <v>169.3</v>
      </c>
      <c r="G55" s="63" t="n">
        <v>114.7</v>
      </c>
      <c r="H55" s="63" t="n">
        <v>129.8</v>
      </c>
      <c r="I55" s="86" t="inlineStr">
        <is>
          <t>S05 / 확인필요(선택공급약관 소관)</t>
        </is>
      </c>
    </row>
  </sheetData>
  <autoFilter ref="A4:I55"/>
  <mergeCells count="6">
    <mergeCell ref="A29:I29"/>
    <mergeCell ref="A49:I49"/>
    <mergeCell ref="A11:I11"/>
    <mergeCell ref="A5:I5"/>
    <mergeCell ref="A30:I30"/>
    <mergeCell ref="A24:I24"/>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L59"/>
  <sheetViews>
    <sheetView showFormulas="0" showGridLines="1" showRowColHeaders="1" showZeros="1" rightToLeft="0" tabSelected="0" showOutlineSymbols="1" defaultGridColor="1" view="normal" topLeftCell="A1" colorId="64" zoomScale="90" zoomScaleNormal="90" zoomScalePageLayoutView="100" workbookViewId="0">
      <pane xSplit="0" ySplit="11" topLeftCell="A1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1" min="1" max="1"/>
    <col width="9" customWidth="1" style="41" min="2" max="2"/>
    <col width="7" customWidth="1" style="41" min="3" max="3"/>
    <col width="15" customWidth="1" style="41" min="4" max="4"/>
    <col width="12" customWidth="1" style="41" min="5" max="5"/>
    <col width="14" customWidth="1" style="41" min="6" max="6"/>
    <col width="18" customWidth="1" style="41" min="7" max="7"/>
    <col width="14" customWidth="1" style="41" min="8" max="8"/>
    <col width="13" customWidth="1" style="41" min="9" max="9"/>
    <col width="15" customWidth="1" style="41" min="10" max="10"/>
    <col width="13" customWidth="1" style="41" min="11" max="11"/>
    <col width="24" customWidth="1" style="41" min="12" max="12"/>
  </cols>
  <sheetData>
    <row r="1" ht="21.6" customHeight="1" s="42">
      <c r="A1" s="43" t="inlineStr">
        <is>
          <t>산업용 전력 (갑Ⅰ / 갑Ⅱ / 을) — 약관 별표1(2026.6.1 적용) 기준</t>
        </is>
      </c>
    </row>
    <row r="2" ht="15" customHeight="1" s="42">
      <c r="A2" s="44" t="inlineStr">
        <is>
          <t>산업용(을) 단가는 2026.4.16 개편이 반영된 현행 단가. 오른쪽 3개 열은 유예 신청 고객(~2026.9.30)에게 적용되는 환산 단가(부칙 2026.3.16 제4호 계산식)</t>
        </is>
      </c>
    </row>
    <row r="4" ht="17.15" customHeight="1" s="42">
      <c r="A4" s="45" t="inlineStr">
        <is>
          <t>유예 고객 환산 조정폭 (산업용(을) 중 유예 신청분, ~2026.9.30, A1 부칙 2026.3.16 제4호)</t>
        </is>
      </c>
    </row>
    <row r="5" ht="30" customHeight="1" s="42">
      <c r="A5" s="47" t="inlineStr">
        <is>
          <t>항목</t>
        </is>
      </c>
      <c r="B5" s="47" t="inlineStr">
        <is>
          <t>조정폭(원/kWh)</t>
        </is>
      </c>
      <c r="C5" s="47" t="inlineStr">
        <is>
          <t>비고</t>
        </is>
      </c>
    </row>
    <row r="6" ht="15" customHeight="1" s="42">
      <c r="A6" s="83" t="inlineStr">
        <is>
          <t>경부하</t>
        </is>
      </c>
      <c r="B6" s="73" t="n">
        <v>-5.1</v>
      </c>
      <c r="C6" s="83" t="inlineStr">
        <is>
          <t>차감</t>
        </is>
      </c>
    </row>
    <row r="7" ht="29.85" customHeight="1" s="42">
      <c r="A7" s="83" t="inlineStr">
        <is>
          <t>중간부하</t>
        </is>
      </c>
      <c r="B7" s="73" t="n">
        <v>0</v>
      </c>
      <c r="C7" s="83" t="inlineStr">
        <is>
          <t>조정 없음</t>
        </is>
      </c>
    </row>
    <row r="8" ht="29.85" customHeight="1" s="42">
      <c r="A8" s="83" t="inlineStr">
        <is>
          <t>최대부하 여름·겨울</t>
        </is>
      </c>
      <c r="B8" s="73" t="n">
        <v>16.9</v>
      </c>
      <c r="C8" s="83" t="inlineStr">
        <is>
          <t>가산</t>
        </is>
      </c>
    </row>
    <row r="9" ht="15" customHeight="1" s="42">
      <c r="A9" s="83" t="inlineStr">
        <is>
          <t>최대부하 봄·가을</t>
        </is>
      </c>
      <c r="B9" s="73" t="n">
        <v>13.2</v>
      </c>
      <c r="C9" s="83" t="inlineStr">
        <is>
          <t>가산</t>
        </is>
      </c>
    </row>
    <row r="11" ht="30" customHeight="1" s="42">
      <c r="A11" s="47" t="inlineStr">
        <is>
          <t>종별</t>
        </is>
      </c>
      <c r="B11" s="47" t="inlineStr">
        <is>
          <t>전압</t>
        </is>
      </c>
      <c r="C11" s="47" t="inlineStr">
        <is>
          <t>선택</t>
        </is>
      </c>
      <c r="D11" s="47" t="inlineStr">
        <is>
          <t>기본요금(원/kW)</t>
        </is>
      </c>
      <c r="E11" s="47" t="inlineStr">
        <is>
          <t>시간대</t>
        </is>
      </c>
      <c r="F11" s="47" t="inlineStr">
        <is>
          <t>여름(6~8월)</t>
        </is>
      </c>
      <c r="G11" s="47" t="inlineStr">
        <is>
          <t>봄·가을(3~5,9~10월)</t>
        </is>
      </c>
      <c r="H11" s="47" t="inlineStr">
        <is>
          <t>겨울(11~2월)</t>
        </is>
      </c>
      <c r="I11" s="47" t="inlineStr">
        <is>
          <t>유예고객 여름</t>
        </is>
      </c>
      <c r="J11" s="47" t="inlineStr">
        <is>
          <t>유예고객 봄·가을</t>
        </is>
      </c>
      <c r="K11" s="47" t="inlineStr">
        <is>
          <t>유예고객 겨울</t>
        </is>
      </c>
      <c r="L11" s="47" t="inlineStr">
        <is>
          <t>근거 / 상태</t>
        </is>
      </c>
    </row>
    <row r="12" ht="15" customHeight="1" s="42">
      <c r="A12" s="75" t="inlineStr">
        <is>
          <t>산업용(갑)Ⅰ — 계약전력 300kW 미만, 계절별 단일요금 (2024.10.24 +8.5원 반영)</t>
        </is>
      </c>
      <c r="B12" s="70" t="n"/>
      <c r="C12" s="70" t="n"/>
      <c r="D12" s="70" t="n"/>
      <c r="E12" s="70" t="n"/>
      <c r="F12" s="70" t="n"/>
      <c r="G12" s="70" t="n"/>
      <c r="H12" s="70" t="n"/>
      <c r="I12" s="70" t="n"/>
      <c r="J12" s="70" t="n"/>
      <c r="K12" s="70" t="n"/>
      <c r="L12" s="71" t="n"/>
    </row>
    <row r="13" ht="15" customHeight="1" s="42">
      <c r="A13" s="83" t="inlineStr">
        <is>
          <t>산업용(갑)Ⅰ</t>
        </is>
      </c>
      <c r="B13" s="50" t="inlineStr">
        <is>
          <t>저압</t>
        </is>
      </c>
      <c r="C13" s="82" t="inlineStr">
        <is>
          <t>-</t>
        </is>
      </c>
      <c r="D13" s="62" t="n">
        <v>5550</v>
      </c>
      <c r="E13" s="50" t="inlineStr">
        <is>
          <t>계절별 단일</t>
        </is>
      </c>
      <c r="F13" s="63" t="n">
        <v>116.2</v>
      </c>
      <c r="G13" s="63" t="n">
        <v>94.40000000000001</v>
      </c>
      <c r="H13" s="63" t="n">
        <v>114.5</v>
      </c>
      <c r="I13" s="50" t="inlineStr">
        <is>
          <t>해당없음</t>
        </is>
      </c>
      <c r="J13" s="50" t="n"/>
      <c r="K13" s="50" t="n"/>
      <c r="L13" s="82" t="inlineStr">
        <is>
          <t>S05 / 확정</t>
        </is>
      </c>
    </row>
    <row r="14" ht="15" customHeight="1" s="42">
      <c r="A14" s="83" t="inlineStr">
        <is>
          <t>산업용(갑)Ⅰ</t>
        </is>
      </c>
      <c r="B14" s="50" t="inlineStr">
        <is>
          <t>고압A</t>
        </is>
      </c>
      <c r="C14" s="82" t="inlineStr">
        <is>
          <t>Ⅰ</t>
        </is>
      </c>
      <c r="D14" s="62" t="n">
        <v>6490</v>
      </c>
      <c r="E14" s="50" t="inlineStr">
        <is>
          <t>계절별 단일</t>
        </is>
      </c>
      <c r="F14" s="63" t="n">
        <v>124.8</v>
      </c>
      <c r="G14" s="63" t="n">
        <v>101.1</v>
      </c>
      <c r="H14" s="63" t="n">
        <v>124.7</v>
      </c>
      <c r="I14" s="50" t="inlineStr">
        <is>
          <t>해당없음</t>
        </is>
      </c>
      <c r="J14" s="50" t="n"/>
      <c r="K14" s="50" t="n"/>
      <c r="L14" s="82" t="inlineStr">
        <is>
          <t>S05 / 확정</t>
        </is>
      </c>
    </row>
    <row r="15" ht="15" customHeight="1" s="42">
      <c r="A15" s="83" t="inlineStr">
        <is>
          <t>산업용(갑)Ⅰ</t>
        </is>
      </c>
      <c r="B15" s="50" t="inlineStr">
        <is>
          <t>고압A</t>
        </is>
      </c>
      <c r="C15" s="82" t="inlineStr">
        <is>
          <t>Ⅱ</t>
        </is>
      </c>
      <c r="D15" s="62" t="n">
        <v>7470</v>
      </c>
      <c r="E15" s="50" t="inlineStr">
        <is>
          <t>계절별 단일</t>
        </is>
      </c>
      <c r="F15" s="63" t="n">
        <v>120</v>
      </c>
      <c r="G15" s="63" t="n">
        <v>96.5</v>
      </c>
      <c r="H15" s="63" t="n">
        <v>118.2</v>
      </c>
      <c r="I15" s="50" t="inlineStr">
        <is>
          <t>해당없음</t>
        </is>
      </c>
      <c r="J15" s="50" t="n"/>
      <c r="K15" s="50" t="n"/>
      <c r="L15" s="82" t="inlineStr">
        <is>
          <t>S05 / 확정</t>
        </is>
      </c>
    </row>
    <row r="16" ht="15" customHeight="1" s="42">
      <c r="A16" s="83" t="inlineStr">
        <is>
          <t>산업용(갑)Ⅰ</t>
        </is>
      </c>
      <c r="B16" s="50" t="inlineStr">
        <is>
          <t>고압B</t>
        </is>
      </c>
      <c r="C16" s="82" t="inlineStr">
        <is>
          <t>Ⅰ</t>
        </is>
      </c>
      <c r="D16" s="62" t="n">
        <v>6000</v>
      </c>
      <c r="E16" s="50" t="inlineStr">
        <is>
          <t>계절별 단일</t>
        </is>
      </c>
      <c r="F16" s="63" t="n">
        <v>123.6</v>
      </c>
      <c r="G16" s="63" t="n">
        <v>100</v>
      </c>
      <c r="H16" s="63" t="n">
        <v>123.2</v>
      </c>
      <c r="I16" s="50" t="inlineStr">
        <is>
          <t>해당없음</t>
        </is>
      </c>
      <c r="J16" s="50" t="n"/>
      <c r="K16" s="50" t="n"/>
      <c r="L16" s="82" t="inlineStr">
        <is>
          <t>S05 / 확정</t>
        </is>
      </c>
    </row>
    <row r="17" ht="15" customHeight="1" s="42">
      <c r="A17" s="83" t="inlineStr">
        <is>
          <t>산업용(갑)Ⅰ</t>
        </is>
      </c>
      <c r="B17" s="50" t="inlineStr">
        <is>
          <t>고압B</t>
        </is>
      </c>
      <c r="C17" s="82" t="inlineStr">
        <is>
          <t>Ⅱ</t>
        </is>
      </c>
      <c r="D17" s="62" t="n">
        <v>6900</v>
      </c>
      <c r="E17" s="50" t="inlineStr">
        <is>
          <t>계절별 단일</t>
        </is>
      </c>
      <c r="F17" s="63" t="n">
        <v>118.9</v>
      </c>
      <c r="G17" s="63" t="n">
        <v>95.40000000000001</v>
      </c>
      <c r="H17" s="63" t="n">
        <v>117.1</v>
      </c>
      <c r="I17" s="50" t="inlineStr">
        <is>
          <t>해당없음</t>
        </is>
      </c>
      <c r="J17" s="50" t="n"/>
      <c r="K17" s="50" t="n"/>
      <c r="L17" s="82" t="inlineStr">
        <is>
          <t>S05 / 확정</t>
        </is>
      </c>
    </row>
    <row r="18" ht="15" customHeight="1" s="42">
      <c r="A18" s="75" t="inlineStr">
        <is>
          <t>산업용(갑)Ⅱ — 계약전력 300kW 미만, 계시별. 2026.6.1~ 개편 시간대 적용 (단가 조정 여부 보도자료상 불명확 → 추정 미산출)</t>
        </is>
      </c>
      <c r="B18" s="70" t="n"/>
      <c r="C18" s="70" t="n"/>
      <c r="D18" s="70" t="n"/>
      <c r="E18" s="70" t="n"/>
      <c r="F18" s="70" t="n"/>
      <c r="G18" s="70" t="n"/>
      <c r="H18" s="70" t="n"/>
      <c r="I18" s="70" t="n"/>
      <c r="J18" s="70" t="n"/>
      <c r="K18" s="70" t="n"/>
      <c r="L18" s="71" t="n"/>
    </row>
    <row r="19" ht="15" customHeight="1" s="42">
      <c r="A19" s="83" t="inlineStr">
        <is>
          <t>산업용(갑)Ⅱ</t>
        </is>
      </c>
      <c r="B19" s="50" t="inlineStr">
        <is>
          <t>고압A</t>
        </is>
      </c>
      <c r="C19" s="82" t="inlineStr">
        <is>
          <t>Ⅰ</t>
        </is>
      </c>
      <c r="D19" s="62" t="n">
        <v>6490</v>
      </c>
      <c r="E19" s="56" t="inlineStr">
        <is>
          <t>경부하</t>
        </is>
      </c>
      <c r="F19" s="63" t="n">
        <v>95.7</v>
      </c>
      <c r="G19" s="63" t="n">
        <v>95.7</v>
      </c>
      <c r="H19" s="63" t="n">
        <v>103.1</v>
      </c>
      <c r="I19" s="76" t="inlineStr">
        <is>
          <t>확인필요</t>
        </is>
      </c>
      <c r="J19" s="50" t="n"/>
      <c r="K19" s="50" t="n"/>
      <c r="L19" s="82" t="inlineStr">
        <is>
          <t>S05 / 기준단가 확정</t>
        </is>
      </c>
    </row>
    <row r="20" ht="15" customHeight="1" s="42">
      <c r="A20" s="83" t="inlineStr">
        <is>
          <t>산업용(갑)Ⅱ</t>
        </is>
      </c>
      <c r="B20" s="50" t="inlineStr">
        <is>
          <t>고압A</t>
        </is>
      </c>
      <c r="C20" s="82" t="inlineStr">
        <is>
          <t>Ⅰ</t>
        </is>
      </c>
      <c r="D20" s="62" t="n">
        <v>6490</v>
      </c>
      <c r="E20" s="57" t="inlineStr">
        <is>
          <t>중간부하</t>
        </is>
      </c>
      <c r="F20" s="63" t="n">
        <v>121.5</v>
      </c>
      <c r="G20" s="63" t="n">
        <v>100.5</v>
      </c>
      <c r="H20" s="63" t="n">
        <v>120</v>
      </c>
      <c r="I20" s="76" t="inlineStr">
        <is>
          <t>확인필요</t>
        </is>
      </c>
      <c r="J20" s="50" t="n"/>
      <c r="K20" s="50" t="n"/>
      <c r="L20" s="82" t="inlineStr">
        <is>
          <t>S05 / 기준단가 확정</t>
        </is>
      </c>
    </row>
    <row r="21" ht="15" customHeight="1" s="42">
      <c r="A21" s="83" t="inlineStr">
        <is>
          <t>산업용(갑)Ⅱ</t>
        </is>
      </c>
      <c r="B21" s="50" t="inlineStr">
        <is>
          <t>고압A</t>
        </is>
      </c>
      <c r="C21" s="82" t="inlineStr">
        <is>
          <t>Ⅰ</t>
        </is>
      </c>
      <c r="D21" s="62" t="n">
        <v>6490</v>
      </c>
      <c r="E21" s="52" t="inlineStr">
        <is>
          <t>최대부하</t>
        </is>
      </c>
      <c r="F21" s="63" t="n">
        <v>155</v>
      </c>
      <c r="G21" s="63" t="n">
        <v>119.7</v>
      </c>
      <c r="H21" s="63" t="n">
        <v>149.4</v>
      </c>
      <c r="I21" s="76" t="inlineStr">
        <is>
          <t>확인필요</t>
        </is>
      </c>
      <c r="J21" s="50" t="n"/>
      <c r="K21" s="50" t="n"/>
      <c r="L21" s="82" t="inlineStr">
        <is>
          <t>S05 / 기준단가 확정</t>
        </is>
      </c>
    </row>
    <row r="22" ht="15" customHeight="1" s="42">
      <c r="A22" s="83" t="inlineStr">
        <is>
          <t>산업용(갑)Ⅱ</t>
        </is>
      </c>
      <c r="B22" s="50" t="inlineStr">
        <is>
          <t>고압A</t>
        </is>
      </c>
      <c r="C22" s="82" t="inlineStr">
        <is>
          <t>Ⅱ</t>
        </is>
      </c>
      <c r="D22" s="62" t="n">
        <v>7470</v>
      </c>
      <c r="E22" s="56" t="inlineStr">
        <is>
          <t>경부하</t>
        </is>
      </c>
      <c r="F22" s="63" t="n">
        <v>90.8</v>
      </c>
      <c r="G22" s="63" t="n">
        <v>90.8</v>
      </c>
      <c r="H22" s="63" t="n">
        <v>98.2</v>
      </c>
      <c r="I22" s="76" t="inlineStr">
        <is>
          <t>확인필요</t>
        </is>
      </c>
      <c r="J22" s="50" t="n"/>
      <c r="K22" s="50" t="n"/>
      <c r="L22" s="82" t="inlineStr">
        <is>
          <t>S05 / 기준단가 확정</t>
        </is>
      </c>
    </row>
    <row r="23" ht="15" customHeight="1" s="42">
      <c r="A23" s="83" t="inlineStr">
        <is>
          <t>산업용(갑)Ⅱ</t>
        </is>
      </c>
      <c r="B23" s="50" t="inlineStr">
        <is>
          <t>고압A</t>
        </is>
      </c>
      <c r="C23" s="82" t="inlineStr">
        <is>
          <t>Ⅱ</t>
        </is>
      </c>
      <c r="D23" s="62" t="n">
        <v>7470</v>
      </c>
      <c r="E23" s="57" t="inlineStr">
        <is>
          <t>중간부하</t>
        </is>
      </c>
      <c r="F23" s="63" t="n">
        <v>116.6</v>
      </c>
      <c r="G23" s="63" t="n">
        <v>95.59999999999999</v>
      </c>
      <c r="H23" s="63" t="n">
        <v>115.1</v>
      </c>
      <c r="I23" s="76" t="inlineStr">
        <is>
          <t>확인필요</t>
        </is>
      </c>
      <c r="J23" s="50" t="n"/>
      <c r="K23" s="50" t="n"/>
      <c r="L23" s="82" t="inlineStr">
        <is>
          <t>S05 / 기준단가 확정</t>
        </is>
      </c>
    </row>
    <row r="24" ht="15" customHeight="1" s="42">
      <c r="A24" s="83" t="inlineStr">
        <is>
          <t>산업용(갑)Ⅱ</t>
        </is>
      </c>
      <c r="B24" s="50" t="inlineStr">
        <is>
          <t>고압A</t>
        </is>
      </c>
      <c r="C24" s="82" t="inlineStr">
        <is>
          <t>Ⅱ</t>
        </is>
      </c>
      <c r="D24" s="62" t="n">
        <v>7470</v>
      </c>
      <c r="E24" s="52" t="inlineStr">
        <is>
          <t>최대부하</t>
        </is>
      </c>
      <c r="F24" s="63" t="n">
        <v>150.1</v>
      </c>
      <c r="G24" s="63" t="n">
        <v>114.8</v>
      </c>
      <c r="H24" s="63" t="n">
        <v>144.5</v>
      </c>
      <c r="I24" s="76" t="inlineStr">
        <is>
          <t>확인필요</t>
        </is>
      </c>
      <c r="J24" s="50" t="n"/>
      <c r="K24" s="50" t="n"/>
      <c r="L24" s="82" t="inlineStr">
        <is>
          <t>S05 / 기준단가 확정</t>
        </is>
      </c>
    </row>
    <row r="25" ht="15" customHeight="1" s="42">
      <c r="A25" s="83" t="inlineStr">
        <is>
          <t>산업용(갑)Ⅱ</t>
        </is>
      </c>
      <c r="B25" s="50" t="inlineStr">
        <is>
          <t>고압B</t>
        </is>
      </c>
      <c r="C25" s="82" t="inlineStr">
        <is>
          <t>Ⅰ</t>
        </is>
      </c>
      <c r="D25" s="62" t="n">
        <v>6000</v>
      </c>
      <c r="E25" s="56" t="inlineStr">
        <is>
          <t>경부하</t>
        </is>
      </c>
      <c r="F25" s="63" t="n">
        <v>92.5</v>
      </c>
      <c r="G25" s="63" t="n">
        <v>92.5</v>
      </c>
      <c r="H25" s="63" t="n">
        <v>99.7</v>
      </c>
      <c r="I25" s="76" t="inlineStr">
        <is>
          <t>확인필요</t>
        </is>
      </c>
      <c r="J25" s="50" t="n"/>
      <c r="K25" s="50" t="n"/>
      <c r="L25" s="82" t="inlineStr">
        <is>
          <t>S05 / 기준단가 확정</t>
        </is>
      </c>
    </row>
    <row r="26" ht="15" customHeight="1" s="42">
      <c r="A26" s="83" t="inlineStr">
        <is>
          <t>산업용(갑)Ⅱ</t>
        </is>
      </c>
      <c r="B26" s="50" t="inlineStr">
        <is>
          <t>고압B</t>
        </is>
      </c>
      <c r="C26" s="82" t="inlineStr">
        <is>
          <t>Ⅰ</t>
        </is>
      </c>
      <c r="D26" s="62" t="n">
        <v>6000</v>
      </c>
      <c r="E26" s="57" t="inlineStr">
        <is>
          <t>중간부하</t>
        </is>
      </c>
      <c r="F26" s="63" t="n">
        <v>120.1</v>
      </c>
      <c r="G26" s="63" t="n">
        <v>99.09999999999999</v>
      </c>
      <c r="H26" s="63" t="n">
        <v>117.7</v>
      </c>
      <c r="I26" s="76" t="inlineStr">
        <is>
          <t>확인필요</t>
        </is>
      </c>
      <c r="J26" s="50" t="n"/>
      <c r="K26" s="50" t="n"/>
      <c r="L26" s="82" t="inlineStr">
        <is>
          <t>S05 / 기준단가 확정</t>
        </is>
      </c>
    </row>
    <row r="27" ht="15" customHeight="1" s="42">
      <c r="A27" s="83" t="inlineStr">
        <is>
          <t>산업용(갑)Ⅱ</t>
        </is>
      </c>
      <c r="B27" s="50" t="inlineStr">
        <is>
          <t>고압B</t>
        </is>
      </c>
      <c r="C27" s="82" t="inlineStr">
        <is>
          <t>Ⅰ</t>
        </is>
      </c>
      <c r="D27" s="62" t="n">
        <v>6000</v>
      </c>
      <c r="E27" s="52" t="inlineStr">
        <is>
          <t>최대부하</t>
        </is>
      </c>
      <c r="F27" s="63" t="n">
        <v>153.9</v>
      </c>
      <c r="G27" s="63" t="n">
        <v>117.9</v>
      </c>
      <c r="H27" s="63" t="n">
        <v>146.4</v>
      </c>
      <c r="I27" s="76" t="inlineStr">
        <is>
          <t>확인필요</t>
        </is>
      </c>
      <c r="J27" s="50" t="n"/>
      <c r="K27" s="50" t="n"/>
      <c r="L27" s="82" t="inlineStr">
        <is>
          <t>S05 / 기준단가 확정</t>
        </is>
      </c>
    </row>
    <row r="28" ht="15" customHeight="1" s="42">
      <c r="A28" s="83" t="inlineStr">
        <is>
          <t>산업용(갑)Ⅱ</t>
        </is>
      </c>
      <c r="B28" s="50" t="inlineStr">
        <is>
          <t>고압B</t>
        </is>
      </c>
      <c r="C28" s="82" t="inlineStr">
        <is>
          <t>Ⅱ</t>
        </is>
      </c>
      <c r="D28" s="62" t="n">
        <v>6900</v>
      </c>
      <c r="E28" s="56" t="inlineStr">
        <is>
          <t>경부하</t>
        </is>
      </c>
      <c r="F28" s="63" t="n">
        <v>88</v>
      </c>
      <c r="G28" s="63" t="n">
        <v>88</v>
      </c>
      <c r="H28" s="63" t="n">
        <v>95.2</v>
      </c>
      <c r="I28" s="76" t="inlineStr">
        <is>
          <t>확인필요</t>
        </is>
      </c>
      <c r="J28" s="50" t="n"/>
      <c r="K28" s="50" t="n"/>
      <c r="L28" s="82" t="inlineStr">
        <is>
          <t>S05 / 기준단가 확정</t>
        </is>
      </c>
    </row>
    <row r="29" ht="15" customHeight="1" s="42">
      <c r="A29" s="83" t="inlineStr">
        <is>
          <t>산업용(갑)Ⅱ</t>
        </is>
      </c>
      <c r="B29" s="50" t="inlineStr">
        <is>
          <t>고압B</t>
        </is>
      </c>
      <c r="C29" s="82" t="inlineStr">
        <is>
          <t>Ⅱ</t>
        </is>
      </c>
      <c r="D29" s="62" t="n">
        <v>6900</v>
      </c>
      <c r="E29" s="57" t="inlineStr">
        <is>
          <t>중간부하</t>
        </is>
      </c>
      <c r="F29" s="63" t="n">
        <v>115.6</v>
      </c>
      <c r="G29" s="63" t="n">
        <v>94.59999999999999</v>
      </c>
      <c r="H29" s="63" t="n">
        <v>113.2</v>
      </c>
      <c r="I29" s="76" t="inlineStr">
        <is>
          <t>확인필요</t>
        </is>
      </c>
      <c r="J29" s="50" t="n"/>
      <c r="K29" s="50" t="n"/>
      <c r="L29" s="82" t="inlineStr">
        <is>
          <t>S05 / 기준단가 확정</t>
        </is>
      </c>
    </row>
    <row r="30" ht="15" customHeight="1" s="42">
      <c r="A30" s="83" t="inlineStr">
        <is>
          <t>산업용(갑)Ⅱ</t>
        </is>
      </c>
      <c r="B30" s="50" t="inlineStr">
        <is>
          <t>고압B</t>
        </is>
      </c>
      <c r="C30" s="82" t="inlineStr">
        <is>
          <t>Ⅱ</t>
        </is>
      </c>
      <c r="D30" s="62" t="n">
        <v>6900</v>
      </c>
      <c r="E30" s="52" t="inlineStr">
        <is>
          <t>최대부하</t>
        </is>
      </c>
      <c r="F30" s="63" t="n">
        <v>149.4</v>
      </c>
      <c r="G30" s="63" t="n">
        <v>113.4</v>
      </c>
      <c r="H30" s="63" t="n">
        <v>141.9</v>
      </c>
      <c r="I30" s="76" t="inlineStr">
        <is>
          <t>확인필요</t>
        </is>
      </c>
      <c r="J30" s="50" t="n"/>
      <c r="K30" s="50" t="n"/>
      <c r="L30" s="82" t="inlineStr">
        <is>
          <t>S05 / 기준단가 확정</t>
        </is>
      </c>
    </row>
    <row r="31" ht="15" customHeight="1" s="42">
      <c r="A31" s="75" t="inlineStr">
        <is>
          <t>산업용(을) — 계약전력 300kW 이상, 계시별 필수. 아래 단가는 2026.4.16 개편이 반영된 현행 단가(A1 별표1, 2026.6.1 적용)</t>
        </is>
      </c>
      <c r="B31" s="70" t="n"/>
      <c r="C31" s="70" t="n"/>
      <c r="D31" s="70" t="n"/>
      <c r="E31" s="70" t="n"/>
      <c r="F31" s="70" t="n"/>
      <c r="G31" s="70" t="n"/>
      <c r="H31" s="70" t="n"/>
      <c r="I31" s="70" t="n"/>
      <c r="J31" s="70" t="n"/>
      <c r="K31" s="70" t="n"/>
      <c r="L31" s="71" t="n"/>
    </row>
    <row r="32" ht="15" customHeight="1" s="42">
      <c r="A32" s="83" t="inlineStr">
        <is>
          <t>산업용(을)</t>
        </is>
      </c>
      <c r="B32" s="50" t="inlineStr">
        <is>
          <t>고압A</t>
        </is>
      </c>
      <c r="C32" s="82" t="inlineStr">
        <is>
          <t>Ⅰ</t>
        </is>
      </c>
      <c r="D32" s="62" t="n">
        <v>7220</v>
      </c>
      <c r="E32" s="56" t="inlineStr">
        <is>
          <t>경부하</t>
        </is>
      </c>
      <c r="F32" s="63" t="n">
        <v>121.5</v>
      </c>
      <c r="G32" s="63" t="n">
        <v>121.5</v>
      </c>
      <c r="H32" s="63" t="n">
        <v>128.5</v>
      </c>
      <c r="I32" s="77">
        <f>F32+$B$6</f>
        <v/>
      </c>
      <c r="J32" s="77">
        <f>G32+$B$6</f>
        <v/>
      </c>
      <c r="K32" s="77">
        <f>H32+$B$6</f>
        <v/>
      </c>
      <c r="L32" s="82" t="inlineStr">
        <is>
          <t>A1 별표1 / 확정</t>
        </is>
      </c>
    </row>
    <row r="33" ht="15" customHeight="1" s="42">
      <c r="A33" s="83" t="inlineStr">
        <is>
          <t>산업용(을)</t>
        </is>
      </c>
      <c r="B33" s="50" t="inlineStr">
        <is>
          <t>고압A</t>
        </is>
      </c>
      <c r="C33" s="82" t="inlineStr">
        <is>
          <t>Ⅰ</t>
        </is>
      </c>
      <c r="D33" s="62" t="n">
        <v>7220</v>
      </c>
      <c r="E33" s="57" t="inlineStr">
        <is>
          <t>중간부하</t>
        </is>
      </c>
      <c r="F33" s="63" t="n">
        <v>169.3</v>
      </c>
      <c r="G33" s="63" t="n">
        <v>138.9</v>
      </c>
      <c r="H33" s="63" t="n">
        <v>169.5</v>
      </c>
      <c r="I33" s="77">
        <f>F33+$B$7</f>
        <v/>
      </c>
      <c r="J33" s="77">
        <f>G33+$B$7</f>
        <v/>
      </c>
      <c r="K33" s="77">
        <f>H33+$B$7</f>
        <v/>
      </c>
      <c r="L33" s="82" t="inlineStr">
        <is>
          <t>A1 별표1 / 확정</t>
        </is>
      </c>
    </row>
    <row r="34" ht="15" customHeight="1" s="42">
      <c r="A34" s="83" t="inlineStr">
        <is>
          <t>산업용(을)</t>
        </is>
      </c>
      <c r="B34" s="50" t="inlineStr">
        <is>
          <t>고압A</t>
        </is>
      </c>
      <c r="C34" s="82" t="inlineStr">
        <is>
          <t>Ⅰ</t>
        </is>
      </c>
      <c r="D34" s="62" t="n">
        <v>7220</v>
      </c>
      <c r="E34" s="52" t="inlineStr">
        <is>
          <t>최대부하</t>
        </is>
      </c>
      <c r="F34" s="63" t="n">
        <v>234.5</v>
      </c>
      <c r="G34" s="63" t="n">
        <v>156.4</v>
      </c>
      <c r="H34" s="63" t="n">
        <v>210.1</v>
      </c>
      <c r="I34" s="77">
        <f>F34+$B$8</f>
        <v/>
      </c>
      <c r="J34" s="77">
        <f>G34+$B$9</f>
        <v/>
      </c>
      <c r="K34" s="77">
        <f>H34+$B$8</f>
        <v/>
      </c>
      <c r="L34" s="82" t="inlineStr">
        <is>
          <t>A1 별표1 / 확정</t>
        </is>
      </c>
    </row>
    <row r="35" ht="15" customHeight="1" s="42">
      <c r="A35" s="83" t="inlineStr">
        <is>
          <t>산업용(을)</t>
        </is>
      </c>
      <c r="B35" s="50" t="inlineStr">
        <is>
          <t>고압A</t>
        </is>
      </c>
      <c r="C35" s="82" t="inlineStr">
        <is>
          <t>Ⅱ</t>
        </is>
      </c>
      <c r="D35" s="62" t="n">
        <v>8320</v>
      </c>
      <c r="E35" s="56" t="inlineStr">
        <is>
          <t>경부하</t>
        </is>
      </c>
      <c r="F35" s="63" t="n">
        <v>116</v>
      </c>
      <c r="G35" s="63" t="n">
        <v>116</v>
      </c>
      <c r="H35" s="63" t="n">
        <v>123</v>
      </c>
      <c r="I35" s="77">
        <f>F35+$B$6</f>
        <v/>
      </c>
      <c r="J35" s="77">
        <f>G35+$B$6</f>
        <v/>
      </c>
      <c r="K35" s="77">
        <f>H35+$B$6</f>
        <v/>
      </c>
      <c r="L35" s="82" t="inlineStr">
        <is>
          <t>A1 별표1 / 확정</t>
        </is>
      </c>
    </row>
    <row r="36" ht="15" customHeight="1" s="42">
      <c r="A36" s="83" t="inlineStr">
        <is>
          <t>산업용(을)</t>
        </is>
      </c>
      <c r="B36" s="50" t="inlineStr">
        <is>
          <t>고압A</t>
        </is>
      </c>
      <c r="C36" s="82" t="inlineStr">
        <is>
          <t>Ⅱ</t>
        </is>
      </c>
      <c r="D36" s="62" t="n">
        <v>8320</v>
      </c>
      <c r="E36" s="57" t="inlineStr">
        <is>
          <t>중간부하</t>
        </is>
      </c>
      <c r="F36" s="63" t="n">
        <v>163.8</v>
      </c>
      <c r="G36" s="63" t="n">
        <v>133.4</v>
      </c>
      <c r="H36" s="63" t="n">
        <v>164</v>
      </c>
      <c r="I36" s="77">
        <f>F36+$B$7</f>
        <v/>
      </c>
      <c r="J36" s="77">
        <f>G36+$B$7</f>
        <v/>
      </c>
      <c r="K36" s="77">
        <f>H36+$B$7</f>
        <v/>
      </c>
      <c r="L36" s="82" t="inlineStr">
        <is>
          <t>A1 별표1 / 확정</t>
        </is>
      </c>
    </row>
    <row r="37" ht="15" customHeight="1" s="42">
      <c r="A37" s="83" t="inlineStr">
        <is>
          <t>산업용(을)</t>
        </is>
      </c>
      <c r="B37" s="50" t="inlineStr">
        <is>
          <t>고압A</t>
        </is>
      </c>
      <c r="C37" s="82" t="inlineStr">
        <is>
          <t>Ⅱ</t>
        </is>
      </c>
      <c r="D37" s="62" t="n">
        <v>8320</v>
      </c>
      <c r="E37" s="52" t="inlineStr">
        <is>
          <t>최대부하</t>
        </is>
      </c>
      <c r="F37" s="63" t="n">
        <v>229</v>
      </c>
      <c r="G37" s="63" t="n">
        <v>150.9</v>
      </c>
      <c r="H37" s="63" t="n">
        <v>204.6</v>
      </c>
      <c r="I37" s="77">
        <f>F37+$B$8</f>
        <v/>
      </c>
      <c r="J37" s="77">
        <f>G37+$B$9</f>
        <v/>
      </c>
      <c r="K37" s="77">
        <f>H37+$B$8</f>
        <v/>
      </c>
      <c r="L37" s="82" t="inlineStr">
        <is>
          <t>A1 별표1 / 확정</t>
        </is>
      </c>
    </row>
    <row r="38" ht="15" customHeight="1" s="42">
      <c r="A38" s="83" t="inlineStr">
        <is>
          <t>산업용(을)</t>
        </is>
      </c>
      <c r="B38" s="50" t="inlineStr">
        <is>
          <t>고압A</t>
        </is>
      </c>
      <c r="C38" s="82" t="inlineStr">
        <is>
          <t>Ⅲ</t>
        </is>
      </c>
      <c r="D38" s="62" t="n">
        <v>9810</v>
      </c>
      <c r="E38" s="56" t="inlineStr">
        <is>
          <t>경부하</t>
        </is>
      </c>
      <c r="F38" s="63" t="n">
        <v>115.1</v>
      </c>
      <c r="G38" s="63" t="n">
        <v>115.1</v>
      </c>
      <c r="H38" s="63" t="n">
        <v>122.4</v>
      </c>
      <c r="I38" s="77">
        <f>F38+$B$6</f>
        <v/>
      </c>
      <c r="J38" s="77">
        <f>G38+$B$6</f>
        <v/>
      </c>
      <c r="K38" s="77">
        <f>H38+$B$6</f>
        <v/>
      </c>
      <c r="L38" s="82" t="inlineStr">
        <is>
          <t>A1 별표1 / 확정</t>
        </is>
      </c>
    </row>
    <row r="39" ht="15" customHeight="1" s="42">
      <c r="A39" s="83" t="inlineStr">
        <is>
          <t>산업용(을)</t>
        </is>
      </c>
      <c r="B39" s="50" t="inlineStr">
        <is>
          <t>고압A</t>
        </is>
      </c>
      <c r="C39" s="82" t="inlineStr">
        <is>
          <t>Ⅲ</t>
        </is>
      </c>
      <c r="D39" s="62" t="n">
        <v>9810</v>
      </c>
      <c r="E39" s="57" t="inlineStr">
        <is>
          <t>중간부하</t>
        </is>
      </c>
      <c r="F39" s="63" t="n">
        <v>163.2</v>
      </c>
      <c r="G39" s="63" t="n">
        <v>132.1</v>
      </c>
      <c r="H39" s="63" t="n">
        <v>163.4</v>
      </c>
      <c r="I39" s="77">
        <f>F39+$B$7</f>
        <v/>
      </c>
      <c r="J39" s="77">
        <f>G39+$B$7</f>
        <v/>
      </c>
      <c r="K39" s="77">
        <f>H39+$B$7</f>
        <v/>
      </c>
      <c r="L39" s="82" t="inlineStr">
        <is>
          <t>A1 별표1 / 확정</t>
        </is>
      </c>
    </row>
    <row r="40" ht="15" customHeight="1" s="42">
      <c r="A40" s="83" t="inlineStr">
        <is>
          <t>산업용(을)</t>
        </is>
      </c>
      <c r="B40" s="50" t="inlineStr">
        <is>
          <t>고압A</t>
        </is>
      </c>
      <c r="C40" s="82" t="inlineStr">
        <is>
          <t>Ⅲ</t>
        </is>
      </c>
      <c r="D40" s="62" t="n">
        <v>9810</v>
      </c>
      <c r="E40" s="52" t="inlineStr">
        <is>
          <t>최대부하</t>
        </is>
      </c>
      <c r="F40" s="63" t="n">
        <v>216.6</v>
      </c>
      <c r="G40" s="63" t="n">
        <v>142.6</v>
      </c>
      <c r="H40" s="63" t="n">
        <v>193.4</v>
      </c>
      <c r="I40" s="77">
        <f>F40+$B$8</f>
        <v/>
      </c>
      <c r="J40" s="77">
        <f>G40+$B$9</f>
        <v/>
      </c>
      <c r="K40" s="77">
        <f>H40+$B$8</f>
        <v/>
      </c>
      <c r="L40" s="82" t="inlineStr">
        <is>
          <t>A1 별표1 / 확정</t>
        </is>
      </c>
    </row>
    <row r="41" ht="15" customHeight="1" s="42">
      <c r="A41" s="83" t="inlineStr">
        <is>
          <t>산업용(을)</t>
        </is>
      </c>
      <c r="B41" s="50" t="inlineStr">
        <is>
          <t>고압B</t>
        </is>
      </c>
      <c r="C41" s="82" t="inlineStr">
        <is>
          <t>Ⅰ</t>
        </is>
      </c>
      <c r="D41" s="62" t="n">
        <v>6630</v>
      </c>
      <c r="E41" s="56" t="inlineStr">
        <is>
          <t>경부하</t>
        </is>
      </c>
      <c r="F41" s="63" t="n">
        <v>131.4</v>
      </c>
      <c r="G41" s="63" t="n">
        <v>131.4</v>
      </c>
      <c r="H41" s="63" t="n">
        <v>138.4</v>
      </c>
      <c r="I41" s="77">
        <f>F41+$B$6</f>
        <v/>
      </c>
      <c r="J41" s="77">
        <f>G41+$B$6</f>
        <v/>
      </c>
      <c r="K41" s="77">
        <f>H41+$B$6</f>
        <v/>
      </c>
      <c r="L41" s="82" t="inlineStr">
        <is>
          <t>A1 별표1 / 확정</t>
        </is>
      </c>
    </row>
    <row r="42" ht="15" customHeight="1" s="42">
      <c r="A42" s="83" t="inlineStr">
        <is>
          <t>산업용(을)</t>
        </is>
      </c>
      <c r="B42" s="50" t="inlineStr">
        <is>
          <t>고압B</t>
        </is>
      </c>
      <c r="C42" s="82" t="inlineStr">
        <is>
          <t>Ⅰ</t>
        </is>
      </c>
      <c r="D42" s="62" t="n">
        <v>6630</v>
      </c>
      <c r="E42" s="57" t="inlineStr">
        <is>
          <t>중간부하</t>
        </is>
      </c>
      <c r="F42" s="63" t="n">
        <v>178.6</v>
      </c>
      <c r="G42" s="63" t="n">
        <v>148.6</v>
      </c>
      <c r="H42" s="63" t="n">
        <v>178.6</v>
      </c>
      <c r="I42" s="77">
        <f>F42+$B$7</f>
        <v/>
      </c>
      <c r="J42" s="77">
        <f>G42+$B$7</f>
        <v/>
      </c>
      <c r="K42" s="77">
        <f>H42+$B$7</f>
        <v/>
      </c>
      <c r="L42" s="82" t="inlineStr">
        <is>
          <t>A1 별표1 / 확정</t>
        </is>
      </c>
    </row>
    <row r="43" ht="15" customHeight="1" s="42">
      <c r="A43" s="83" t="inlineStr">
        <is>
          <t>산업용(을)</t>
        </is>
      </c>
      <c r="B43" s="50" t="inlineStr">
        <is>
          <t>고압B</t>
        </is>
      </c>
      <c r="C43" s="82" t="inlineStr">
        <is>
          <t>Ⅰ</t>
        </is>
      </c>
      <c r="D43" s="62" t="n">
        <v>6630</v>
      </c>
      <c r="E43" s="52" t="inlineStr">
        <is>
          <t>최대부하</t>
        </is>
      </c>
      <c r="F43" s="63" t="n">
        <v>242.9</v>
      </c>
      <c r="G43" s="63" t="n">
        <v>165.7</v>
      </c>
      <c r="H43" s="63" t="n">
        <v>217.9</v>
      </c>
      <c r="I43" s="77">
        <f>F43+$B$8</f>
        <v/>
      </c>
      <c r="J43" s="77">
        <f>G43+$B$9</f>
        <v/>
      </c>
      <c r="K43" s="77">
        <f>H43+$B$8</f>
        <v/>
      </c>
      <c r="L43" s="82" t="inlineStr">
        <is>
          <t>A1 별표1 / 확정</t>
        </is>
      </c>
    </row>
    <row r="44" ht="15" customHeight="1" s="42">
      <c r="A44" s="83" t="inlineStr">
        <is>
          <t>산업용(을)</t>
        </is>
      </c>
      <c r="B44" s="50" t="inlineStr">
        <is>
          <t>고압B</t>
        </is>
      </c>
      <c r="C44" s="82" t="inlineStr">
        <is>
          <t>Ⅱ</t>
        </is>
      </c>
      <c r="D44" s="62" t="n">
        <v>7380</v>
      </c>
      <c r="E44" s="56" t="inlineStr">
        <is>
          <t>경부하</t>
        </is>
      </c>
      <c r="F44" s="63" t="n">
        <v>127.6</v>
      </c>
      <c r="G44" s="63" t="n">
        <v>127.6</v>
      </c>
      <c r="H44" s="63" t="n">
        <v>134.6</v>
      </c>
      <c r="I44" s="77">
        <f>F44+$B$6</f>
        <v/>
      </c>
      <c r="J44" s="77">
        <f>G44+$B$6</f>
        <v/>
      </c>
      <c r="K44" s="77">
        <f>H44+$B$6</f>
        <v/>
      </c>
      <c r="L44" s="82" t="inlineStr">
        <is>
          <t>A1 별표1 / 확정</t>
        </is>
      </c>
    </row>
    <row r="45" ht="15" customHeight="1" s="42">
      <c r="A45" s="83" t="inlineStr">
        <is>
          <t>산업용(을)</t>
        </is>
      </c>
      <c r="B45" s="50" t="inlineStr">
        <is>
          <t>고압B</t>
        </is>
      </c>
      <c r="C45" s="82" t="inlineStr">
        <is>
          <t>Ⅱ</t>
        </is>
      </c>
      <c r="D45" s="62" t="n">
        <v>7380</v>
      </c>
      <c r="E45" s="57" t="inlineStr">
        <is>
          <t>중간부하</t>
        </is>
      </c>
      <c r="F45" s="63" t="n">
        <v>174.8</v>
      </c>
      <c r="G45" s="63" t="n">
        <v>144.8</v>
      </c>
      <c r="H45" s="63" t="n">
        <v>174.8</v>
      </c>
      <c r="I45" s="77">
        <f>F45+$B$7</f>
        <v/>
      </c>
      <c r="J45" s="77">
        <f>G45+$B$7</f>
        <v/>
      </c>
      <c r="K45" s="77">
        <f>H45+$B$7</f>
        <v/>
      </c>
      <c r="L45" s="82" t="inlineStr">
        <is>
          <t>A1 별표1 / 확정</t>
        </is>
      </c>
    </row>
    <row r="46" ht="15" customHeight="1" s="42">
      <c r="A46" s="83" t="inlineStr">
        <is>
          <t>산업용(을)</t>
        </is>
      </c>
      <c r="B46" s="50" t="inlineStr">
        <is>
          <t>고압B</t>
        </is>
      </c>
      <c r="C46" s="82" t="inlineStr">
        <is>
          <t>Ⅱ</t>
        </is>
      </c>
      <c r="D46" s="62" t="n">
        <v>7380</v>
      </c>
      <c r="E46" s="52" t="inlineStr">
        <is>
          <t>최대부하</t>
        </is>
      </c>
      <c r="F46" s="63" t="n">
        <v>239.1</v>
      </c>
      <c r="G46" s="63" t="n">
        <v>161.9</v>
      </c>
      <c r="H46" s="63" t="n">
        <v>214.1</v>
      </c>
      <c r="I46" s="77">
        <f>F46+$B$8</f>
        <v/>
      </c>
      <c r="J46" s="77">
        <f>G46+$B$9</f>
        <v/>
      </c>
      <c r="K46" s="77">
        <f>H46+$B$8</f>
        <v/>
      </c>
      <c r="L46" s="82" t="inlineStr">
        <is>
          <t>A1 별표1 / 확정</t>
        </is>
      </c>
    </row>
    <row r="47" ht="15" customHeight="1" s="42">
      <c r="A47" s="83" t="inlineStr">
        <is>
          <t>산업용(을)</t>
        </is>
      </c>
      <c r="B47" s="50" t="inlineStr">
        <is>
          <t>고압B</t>
        </is>
      </c>
      <c r="C47" s="82" t="inlineStr">
        <is>
          <t>Ⅲ</t>
        </is>
      </c>
      <c r="D47" s="62" t="n">
        <v>8190</v>
      </c>
      <c r="E47" s="56" t="inlineStr">
        <is>
          <t>경부하</t>
        </is>
      </c>
      <c r="F47" s="63" t="n">
        <v>125.9</v>
      </c>
      <c r="G47" s="63" t="n">
        <v>125.9</v>
      </c>
      <c r="H47" s="63" t="n">
        <v>133</v>
      </c>
      <c r="I47" s="77">
        <f>F47+$B$6</f>
        <v/>
      </c>
      <c r="J47" s="77">
        <f>G47+$B$6</f>
        <v/>
      </c>
      <c r="K47" s="77">
        <f>H47+$B$6</f>
        <v/>
      </c>
      <c r="L47" s="82" t="inlineStr">
        <is>
          <t>A1 별표1 / 확정</t>
        </is>
      </c>
    </row>
    <row r="48" ht="15" customHeight="1" s="42">
      <c r="A48" s="83" t="inlineStr">
        <is>
          <t>산업용(을)</t>
        </is>
      </c>
      <c r="B48" s="50" t="inlineStr">
        <is>
          <t>고압B</t>
        </is>
      </c>
      <c r="C48" s="82" t="inlineStr">
        <is>
          <t>Ⅲ</t>
        </is>
      </c>
      <c r="D48" s="62" t="n">
        <v>8190</v>
      </c>
      <c r="E48" s="57" t="inlineStr">
        <is>
          <t>중간부하</t>
        </is>
      </c>
      <c r="F48" s="63" t="n">
        <v>173.1</v>
      </c>
      <c r="G48" s="63" t="n">
        <v>143.2</v>
      </c>
      <c r="H48" s="63" t="n">
        <v>173.1</v>
      </c>
      <c r="I48" s="77">
        <f>F48+$B$7</f>
        <v/>
      </c>
      <c r="J48" s="77">
        <f>G48+$B$7</f>
        <v/>
      </c>
      <c r="K48" s="77">
        <f>H48+$B$7</f>
        <v/>
      </c>
      <c r="L48" s="82" t="inlineStr">
        <is>
          <t>A1 별표1 / 확정</t>
        </is>
      </c>
    </row>
    <row r="49" ht="15" customHeight="1" s="42">
      <c r="A49" s="83" t="inlineStr">
        <is>
          <t>산업용(을)</t>
        </is>
      </c>
      <c r="B49" s="50" t="inlineStr">
        <is>
          <t>고압B</t>
        </is>
      </c>
      <c r="C49" s="82" t="inlineStr">
        <is>
          <t>Ⅲ</t>
        </is>
      </c>
      <c r="D49" s="62" t="n">
        <v>8190</v>
      </c>
      <c r="E49" s="52" t="inlineStr">
        <is>
          <t>최대부하</t>
        </is>
      </c>
      <c r="F49" s="63" t="n">
        <v>237.5</v>
      </c>
      <c r="G49" s="63" t="n">
        <v>160.3</v>
      </c>
      <c r="H49" s="63" t="n">
        <v>212.4</v>
      </c>
      <c r="I49" s="77">
        <f>F49+$B$8</f>
        <v/>
      </c>
      <c r="J49" s="77">
        <f>G49+$B$9</f>
        <v/>
      </c>
      <c r="K49" s="77">
        <f>H49+$B$8</f>
        <v/>
      </c>
      <c r="L49" s="82" t="inlineStr">
        <is>
          <t>A1 별표1 / 확정</t>
        </is>
      </c>
    </row>
    <row r="50" ht="15" customHeight="1" s="42">
      <c r="A50" s="83" t="inlineStr">
        <is>
          <t>산업용(을)</t>
        </is>
      </c>
      <c r="B50" s="50" t="inlineStr">
        <is>
          <t>고압C</t>
        </is>
      </c>
      <c r="C50" s="82" t="inlineStr">
        <is>
          <t>Ⅰ</t>
        </is>
      </c>
      <c r="D50" s="62" t="n">
        <v>6590</v>
      </c>
      <c r="E50" s="56" t="inlineStr">
        <is>
          <t>경부하</t>
        </is>
      </c>
      <c r="F50" s="63" t="n">
        <v>130.9</v>
      </c>
      <c r="G50" s="63" t="n">
        <v>130.9</v>
      </c>
      <c r="H50" s="63" t="n">
        <v>137.8</v>
      </c>
      <c r="I50" s="77">
        <f>F50+$B$6</f>
        <v/>
      </c>
      <c r="J50" s="77">
        <f>G50+$B$6</f>
        <v/>
      </c>
      <c r="K50" s="77">
        <f>H50+$B$6</f>
        <v/>
      </c>
      <c r="L50" s="82" t="inlineStr">
        <is>
          <t>A1 별표1 / 확정</t>
        </is>
      </c>
    </row>
    <row r="51" ht="15" customHeight="1" s="42">
      <c r="A51" s="83" t="inlineStr">
        <is>
          <t>산업용(을)</t>
        </is>
      </c>
      <c r="B51" s="50" t="inlineStr">
        <is>
          <t>고압C</t>
        </is>
      </c>
      <c r="C51" s="82" t="inlineStr">
        <is>
          <t>Ⅰ</t>
        </is>
      </c>
      <c r="D51" s="62" t="n">
        <v>6590</v>
      </c>
      <c r="E51" s="57" t="inlineStr">
        <is>
          <t>중간부하</t>
        </is>
      </c>
      <c r="F51" s="63" t="n">
        <v>178.7</v>
      </c>
      <c r="G51" s="63" t="n">
        <v>148.7</v>
      </c>
      <c r="H51" s="63" t="n">
        <v>178.3</v>
      </c>
      <c r="I51" s="77">
        <f>F51+$B$7</f>
        <v/>
      </c>
      <c r="J51" s="77">
        <f>G51+$B$7</f>
        <v/>
      </c>
      <c r="K51" s="77">
        <f>H51+$B$7</f>
        <v/>
      </c>
      <c r="L51" s="82" t="inlineStr">
        <is>
          <t>A1 별표1 / 확정</t>
        </is>
      </c>
    </row>
    <row r="52" ht="15" customHeight="1" s="42">
      <c r="A52" s="83" t="inlineStr">
        <is>
          <t>산업용(을)</t>
        </is>
      </c>
      <c r="B52" s="50" t="inlineStr">
        <is>
          <t>고압C</t>
        </is>
      </c>
      <c r="C52" s="82" t="inlineStr">
        <is>
          <t>Ⅰ</t>
        </is>
      </c>
      <c r="D52" s="62" t="n">
        <v>6590</v>
      </c>
      <c r="E52" s="52" t="inlineStr">
        <is>
          <t>최대부하</t>
        </is>
      </c>
      <c r="F52" s="63" t="n">
        <v>242.7</v>
      </c>
      <c r="G52" s="63" t="n">
        <v>165.9</v>
      </c>
      <c r="H52" s="63" t="n">
        <v>218</v>
      </c>
      <c r="I52" s="77">
        <f>F52+$B$8</f>
        <v/>
      </c>
      <c r="J52" s="77">
        <f>G52+$B$9</f>
        <v/>
      </c>
      <c r="K52" s="77">
        <f>H52+$B$8</f>
        <v/>
      </c>
      <c r="L52" s="82" t="inlineStr">
        <is>
          <t>A1 별표1 / 확정</t>
        </is>
      </c>
    </row>
    <row r="53" ht="15" customHeight="1" s="42">
      <c r="A53" s="83" t="inlineStr">
        <is>
          <t>산업용(을)</t>
        </is>
      </c>
      <c r="B53" s="50" t="inlineStr">
        <is>
          <t>고압C</t>
        </is>
      </c>
      <c r="C53" s="82" t="inlineStr">
        <is>
          <t>Ⅱ</t>
        </is>
      </c>
      <c r="D53" s="62" t="n">
        <v>7520</v>
      </c>
      <c r="E53" s="56" t="inlineStr">
        <is>
          <t>경부하</t>
        </is>
      </c>
      <c r="F53" s="63" t="n">
        <v>126.2</v>
      </c>
      <c r="G53" s="63" t="n">
        <v>126.2</v>
      </c>
      <c r="H53" s="63" t="n">
        <v>133.1</v>
      </c>
      <c r="I53" s="77">
        <f>F53+$B$6</f>
        <v/>
      </c>
      <c r="J53" s="77">
        <f>G53+$B$6</f>
        <v/>
      </c>
      <c r="K53" s="77">
        <f>H53+$B$6</f>
        <v/>
      </c>
      <c r="L53" s="82" t="inlineStr">
        <is>
          <t>A1 별표1 / 확정</t>
        </is>
      </c>
    </row>
    <row r="54" ht="15" customHeight="1" s="42">
      <c r="A54" s="83" t="inlineStr">
        <is>
          <t>산업용(을)</t>
        </is>
      </c>
      <c r="B54" s="50" t="inlineStr">
        <is>
          <t>고압C</t>
        </is>
      </c>
      <c r="C54" s="82" t="inlineStr">
        <is>
          <t>Ⅱ</t>
        </is>
      </c>
      <c r="D54" s="62" t="n">
        <v>7520</v>
      </c>
      <c r="E54" s="57" t="inlineStr">
        <is>
          <t>중간부하</t>
        </is>
      </c>
      <c r="F54" s="63" t="n">
        <v>174</v>
      </c>
      <c r="G54" s="63" t="n">
        <v>144</v>
      </c>
      <c r="H54" s="63" t="n">
        <v>173.6</v>
      </c>
      <c r="I54" s="77">
        <f>F54+$B$7</f>
        <v/>
      </c>
      <c r="J54" s="77">
        <f>G54+$B$7</f>
        <v/>
      </c>
      <c r="K54" s="77">
        <f>H54+$B$7</f>
        <v/>
      </c>
      <c r="L54" s="82" t="inlineStr">
        <is>
          <t>A1 별표1 / 확정</t>
        </is>
      </c>
    </row>
    <row r="55" ht="15" customHeight="1" s="42">
      <c r="A55" s="83" t="inlineStr">
        <is>
          <t>산업용(을)</t>
        </is>
      </c>
      <c r="B55" s="50" t="inlineStr">
        <is>
          <t>고압C</t>
        </is>
      </c>
      <c r="C55" s="82" t="inlineStr">
        <is>
          <t>Ⅱ</t>
        </is>
      </c>
      <c r="D55" s="62" t="n">
        <v>7520</v>
      </c>
      <c r="E55" s="52" t="inlineStr">
        <is>
          <t>최대부하</t>
        </is>
      </c>
      <c r="F55" s="63" t="n">
        <v>238</v>
      </c>
      <c r="G55" s="63" t="n">
        <v>161.2</v>
      </c>
      <c r="H55" s="63" t="n">
        <v>213.3</v>
      </c>
      <c r="I55" s="77">
        <f>F55+$B$8</f>
        <v/>
      </c>
      <c r="J55" s="77">
        <f>G55+$B$9</f>
        <v/>
      </c>
      <c r="K55" s="77">
        <f>H55+$B$8</f>
        <v/>
      </c>
      <c r="L55" s="82" t="inlineStr">
        <is>
          <t>A1 별표1 / 확정</t>
        </is>
      </c>
    </row>
    <row r="56" ht="15" customHeight="1" s="42">
      <c r="A56" s="83" t="inlineStr">
        <is>
          <t>산업용(을)</t>
        </is>
      </c>
      <c r="B56" s="50" t="inlineStr">
        <is>
          <t>고압C</t>
        </is>
      </c>
      <c r="C56" s="82" t="inlineStr">
        <is>
          <t>Ⅲ</t>
        </is>
      </c>
      <c r="D56" s="62" t="n">
        <v>8090</v>
      </c>
      <c r="E56" s="56" t="inlineStr">
        <is>
          <t>경부하</t>
        </is>
      </c>
      <c r="F56" s="63" t="n">
        <v>125.1</v>
      </c>
      <c r="G56" s="63" t="n">
        <v>125.1</v>
      </c>
      <c r="H56" s="63" t="n">
        <v>132</v>
      </c>
      <c r="I56" s="77">
        <f>F56+$B$6</f>
        <v/>
      </c>
      <c r="J56" s="77">
        <f>G56+$B$6</f>
        <v/>
      </c>
      <c r="K56" s="77">
        <f>H56+$B$6</f>
        <v/>
      </c>
      <c r="L56" s="82" t="inlineStr">
        <is>
          <t>A1 별표1 / 확정</t>
        </is>
      </c>
    </row>
    <row r="57" ht="15" customHeight="1" s="42">
      <c r="A57" s="83" t="inlineStr">
        <is>
          <t>산업용(을)</t>
        </is>
      </c>
      <c r="B57" s="50" t="inlineStr">
        <is>
          <t>고압C</t>
        </is>
      </c>
      <c r="C57" s="82" t="inlineStr">
        <is>
          <t>Ⅲ</t>
        </is>
      </c>
      <c r="D57" s="62" t="n">
        <v>8090</v>
      </c>
      <c r="E57" s="57" t="inlineStr">
        <is>
          <t>중간부하</t>
        </is>
      </c>
      <c r="F57" s="63" t="n">
        <v>172.9</v>
      </c>
      <c r="G57" s="63" t="n">
        <v>142.9</v>
      </c>
      <c r="H57" s="63" t="n">
        <v>172.5</v>
      </c>
      <c r="I57" s="77">
        <f>F57+$B$7</f>
        <v/>
      </c>
      <c r="J57" s="77">
        <f>G57+$B$7</f>
        <v/>
      </c>
      <c r="K57" s="77">
        <f>H57+$B$7</f>
        <v/>
      </c>
      <c r="L57" s="82" t="inlineStr">
        <is>
          <t>A1 별표1 / 확정</t>
        </is>
      </c>
    </row>
    <row r="58" ht="15" customHeight="1" s="42">
      <c r="A58" s="83" t="inlineStr">
        <is>
          <t>산업용(을)</t>
        </is>
      </c>
      <c r="B58" s="50" t="inlineStr">
        <is>
          <t>고압C</t>
        </is>
      </c>
      <c r="C58" s="82" t="inlineStr">
        <is>
          <t>Ⅲ</t>
        </is>
      </c>
      <c r="D58" s="62" t="n">
        <v>8090</v>
      </c>
      <c r="E58" s="52" t="inlineStr">
        <is>
          <t>최대부하</t>
        </is>
      </c>
      <c r="F58" s="63" t="n">
        <v>236.9</v>
      </c>
      <c r="G58" s="63" t="n">
        <v>160.1</v>
      </c>
      <c r="H58" s="63" t="n">
        <v>212.2</v>
      </c>
      <c r="I58" s="77">
        <f>F58+$B$8</f>
        <v/>
      </c>
      <c r="J58" s="77">
        <f>G58+$B$9</f>
        <v/>
      </c>
      <c r="K58" s="77">
        <f>H58+$B$8</f>
        <v/>
      </c>
      <c r="L58" s="82" t="inlineStr">
        <is>
          <t>A1 별표1 / 확정</t>
        </is>
      </c>
    </row>
    <row r="59" ht="51.75" customHeight="1" s="42">
      <c r="A59" s="60" t="inlineStr">
        <is>
          <t>주의: 개편으로 '최대부하' 시간대 자체가 바뀌었다(여름·봄·가을 평일 11~12·13~18시 → 15~21시). 같은 설비라도 어느 시각이 어떤 단가를 받는지는 '시간대_육지vs제주' 시트와 함께 봐야 한다. 개편 전 단가가 필요하면 유예고객 열의 환산값이 곧 개편 전 수준이다(경부하 -5.1, 최대부하 여름·겨울 +16.9 / 봄·가을 +13.2). 산업용(갑)Ⅱ·일반용·교육용은 단가 변동 없이 시간대 구분만 2026.6.1부터 개편 적용(A1 부칙 2026.3.16 제5호).</t>
        </is>
      </c>
    </row>
  </sheetData>
  <autoFilter ref="A11:L58"/>
  <mergeCells count="4">
    <mergeCell ref="A31:L31"/>
    <mergeCell ref="A12:L12"/>
    <mergeCell ref="A59:L59"/>
    <mergeCell ref="A18:L18"/>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I23"/>
  <sheetViews>
    <sheetView showFormulas="0" showGridLines="1" showRowColHeaders="1" showZeros="1" rightToLeft="0" tabSelected="0" showOutlineSymbols="1" defaultGridColor="1"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1" min="1" max="1"/>
    <col width="9" customWidth="1" style="41" min="2" max="2"/>
    <col width="7" customWidth="1" style="41" min="3" max="3"/>
    <col width="15" customWidth="1" style="41" min="4" max="4"/>
    <col width="12" customWidth="1" style="41" min="5" max="5"/>
    <col width="14" customWidth="1" style="41" min="6" max="6"/>
    <col width="18" customWidth="1" style="41" min="7" max="7"/>
    <col width="14" customWidth="1" style="41" min="8" max="8"/>
    <col width="16" customWidth="1" style="41" min="9" max="9"/>
  </cols>
  <sheetData>
    <row r="1" ht="21.6" customHeight="1" s="42">
      <c r="A1" s="43" t="inlineStr">
        <is>
          <t>교육용 전력 (갑 / 을)</t>
        </is>
      </c>
    </row>
    <row r="2" ht="15" customHeight="1" s="42">
      <c r="A2" s="44" t="inlineStr">
        <is>
          <t>단가: 2025.04.01 요금표(S05). 교육용(을)은 2026.6.1~ 개편 시간대 적용(단가 조정 없음 — S02)</t>
        </is>
      </c>
    </row>
    <row r="4" ht="30" customHeight="1" s="42">
      <c r="A4" s="47" t="inlineStr">
        <is>
          <t>종별</t>
        </is>
      </c>
      <c r="B4" s="47" t="inlineStr">
        <is>
          <t>전압</t>
        </is>
      </c>
      <c r="C4" s="47" t="inlineStr">
        <is>
          <t>선택</t>
        </is>
      </c>
      <c r="D4" s="47" t="inlineStr">
        <is>
          <t>기본요금(원/kW)</t>
        </is>
      </c>
      <c r="E4" s="47" t="inlineStr">
        <is>
          <t>시간대</t>
        </is>
      </c>
      <c r="F4" s="47" t="inlineStr">
        <is>
          <t>여름(6~8월)</t>
        </is>
      </c>
      <c r="G4" s="47" t="inlineStr">
        <is>
          <t>봄·가을(3~5,9~10월)</t>
        </is>
      </c>
      <c r="H4" s="47" t="inlineStr">
        <is>
          <t>겨울(11~2월)</t>
        </is>
      </c>
      <c r="I4" s="47" t="inlineStr">
        <is>
          <t>근거 / 상태</t>
        </is>
      </c>
    </row>
    <row r="5" ht="15" customHeight="1" s="42">
      <c r="A5" s="75" t="inlineStr">
        <is>
          <t>교육용(갑) — 계약전력 1,000kW 미만, 계절별 단일요금</t>
        </is>
      </c>
      <c r="B5" s="70" t="n"/>
      <c r="C5" s="70" t="n"/>
      <c r="D5" s="70" t="n"/>
      <c r="E5" s="70" t="n"/>
      <c r="F5" s="70" t="n"/>
      <c r="G5" s="70" t="n"/>
      <c r="H5" s="70" t="n"/>
      <c r="I5" s="71" t="n"/>
    </row>
    <row r="6" ht="15" customHeight="1" s="42">
      <c r="A6" s="83" t="inlineStr">
        <is>
          <t>교육용(갑)</t>
        </is>
      </c>
      <c r="B6" s="50" t="inlineStr">
        <is>
          <t>저압</t>
        </is>
      </c>
      <c r="C6" s="82" t="inlineStr">
        <is>
          <t>-</t>
        </is>
      </c>
      <c r="D6" s="62" t="n">
        <v>5230</v>
      </c>
      <c r="E6" s="50" t="inlineStr">
        <is>
          <t>계절별 단일</t>
        </is>
      </c>
      <c r="F6" s="63" t="n">
        <v>123.6</v>
      </c>
      <c r="G6" s="63" t="n">
        <v>86.40000000000001</v>
      </c>
      <c r="H6" s="63" t="n">
        <v>110.8</v>
      </c>
      <c r="I6" s="82" t="inlineStr">
        <is>
          <t>S05 / 확정</t>
        </is>
      </c>
    </row>
    <row r="7" ht="15" customHeight="1" s="42">
      <c r="A7" s="83" t="inlineStr">
        <is>
          <t>교육용(갑)</t>
        </is>
      </c>
      <c r="B7" s="50" t="inlineStr">
        <is>
          <t>고압A</t>
        </is>
      </c>
      <c r="C7" s="82" t="inlineStr">
        <is>
          <t>Ⅰ</t>
        </is>
      </c>
      <c r="D7" s="62" t="n">
        <v>5550</v>
      </c>
      <c r="E7" s="50" t="inlineStr">
        <is>
          <t>계절별 단일</t>
        </is>
      </c>
      <c r="F7" s="63" t="n">
        <v>123.3</v>
      </c>
      <c r="G7" s="63" t="n">
        <v>86.5</v>
      </c>
      <c r="H7" s="63" t="n">
        <v>109.3</v>
      </c>
      <c r="I7" s="82" t="inlineStr">
        <is>
          <t>S05 / 확정</t>
        </is>
      </c>
    </row>
    <row r="8" ht="15" customHeight="1" s="42">
      <c r="A8" s="83" t="inlineStr">
        <is>
          <t>교육용(갑)</t>
        </is>
      </c>
      <c r="B8" s="50" t="inlineStr">
        <is>
          <t>고압A</t>
        </is>
      </c>
      <c r="C8" s="82" t="inlineStr">
        <is>
          <t>Ⅱ</t>
        </is>
      </c>
      <c r="D8" s="62" t="n">
        <v>6370</v>
      </c>
      <c r="E8" s="50" t="inlineStr">
        <is>
          <t>계절별 단일</t>
        </is>
      </c>
      <c r="F8" s="63" t="n">
        <v>118.8</v>
      </c>
      <c r="G8" s="63" t="n">
        <v>82.09999999999999</v>
      </c>
      <c r="H8" s="63" t="n">
        <v>104.8</v>
      </c>
      <c r="I8" s="82" t="inlineStr">
        <is>
          <t>S05 / 확정</t>
        </is>
      </c>
    </row>
    <row r="9" ht="15" customHeight="1" s="42">
      <c r="A9" s="83" t="inlineStr">
        <is>
          <t>교육용(갑)</t>
        </is>
      </c>
      <c r="B9" s="50" t="inlineStr">
        <is>
          <t>고압B</t>
        </is>
      </c>
      <c r="C9" s="82" t="inlineStr">
        <is>
          <t>Ⅰ</t>
        </is>
      </c>
      <c r="D9" s="62" t="n">
        <v>5550</v>
      </c>
      <c r="E9" s="50" t="inlineStr">
        <is>
          <t>계절별 단일</t>
        </is>
      </c>
      <c r="F9" s="63" t="n">
        <v>122.6</v>
      </c>
      <c r="G9" s="63" t="n">
        <v>86.09999999999999</v>
      </c>
      <c r="H9" s="63" t="n">
        <v>108.5</v>
      </c>
      <c r="I9" s="82" t="inlineStr">
        <is>
          <t>S05 / 확정</t>
        </is>
      </c>
    </row>
    <row r="10" ht="15" customHeight="1" s="42">
      <c r="A10" s="83" t="inlineStr">
        <is>
          <t>교육용(갑)</t>
        </is>
      </c>
      <c r="B10" s="50" t="inlineStr">
        <is>
          <t>고압B</t>
        </is>
      </c>
      <c r="C10" s="82" t="inlineStr">
        <is>
          <t>Ⅱ</t>
        </is>
      </c>
      <c r="D10" s="62" t="n">
        <v>6370</v>
      </c>
      <c r="E10" s="50" t="inlineStr">
        <is>
          <t>계절별 단일</t>
        </is>
      </c>
      <c r="F10" s="63" t="n">
        <v>118.1</v>
      </c>
      <c r="G10" s="63" t="n">
        <v>81.59999999999999</v>
      </c>
      <c r="H10" s="63" t="n">
        <v>104</v>
      </c>
      <c r="I10" s="82" t="inlineStr">
        <is>
          <t>S05 / 확정</t>
        </is>
      </c>
    </row>
    <row r="11" ht="15" customHeight="1" s="42">
      <c r="A11" s="75" t="inlineStr">
        <is>
          <t>교육용(을) — 계약전력 1,000kW 이상, 계시별</t>
        </is>
      </c>
      <c r="B11" s="70" t="n"/>
      <c r="C11" s="70" t="n"/>
      <c r="D11" s="70" t="n"/>
      <c r="E11" s="70" t="n"/>
      <c r="F11" s="70" t="n"/>
      <c r="G11" s="70" t="n"/>
      <c r="H11" s="70" t="n"/>
      <c r="I11" s="71" t="n"/>
    </row>
    <row r="12" ht="15" customHeight="1" s="42">
      <c r="A12" s="83" t="inlineStr">
        <is>
          <t>교육용(을)</t>
        </is>
      </c>
      <c r="B12" s="50" t="inlineStr">
        <is>
          <t>고압A</t>
        </is>
      </c>
      <c r="C12" s="82" t="inlineStr">
        <is>
          <t>Ⅰ</t>
        </is>
      </c>
      <c r="D12" s="62" t="n">
        <v>6090</v>
      </c>
      <c r="E12" s="56" t="inlineStr">
        <is>
          <t>경부하</t>
        </is>
      </c>
      <c r="F12" s="63" t="n">
        <v>76.5</v>
      </c>
      <c r="G12" s="63" t="n">
        <v>76.5</v>
      </c>
      <c r="H12" s="63" t="n">
        <v>80.5</v>
      </c>
      <c r="I12" s="82" t="inlineStr">
        <is>
          <t>S05 / 확정</t>
        </is>
      </c>
    </row>
    <row r="13" ht="15" customHeight="1" s="42">
      <c r="A13" s="83" t="inlineStr">
        <is>
          <t>교육용(을)</t>
        </is>
      </c>
      <c r="B13" s="50" t="inlineStr">
        <is>
          <t>고압A</t>
        </is>
      </c>
      <c r="C13" s="82" t="inlineStr">
        <is>
          <t>Ⅰ</t>
        </is>
      </c>
      <c r="D13" s="62" t="n">
        <v>6090</v>
      </c>
      <c r="E13" s="57" t="inlineStr">
        <is>
          <t>중간부하</t>
        </is>
      </c>
      <c r="F13" s="63" t="n">
        <v>121.2</v>
      </c>
      <c r="G13" s="63" t="n">
        <v>90.90000000000001</v>
      </c>
      <c r="H13" s="63" t="n">
        <v>119.7</v>
      </c>
      <c r="I13" s="82" t="inlineStr">
        <is>
          <t>S05 / 확정</t>
        </is>
      </c>
    </row>
    <row r="14" ht="15" customHeight="1" s="42">
      <c r="A14" s="83" t="inlineStr">
        <is>
          <t>교육용(을)</t>
        </is>
      </c>
      <c r="B14" s="50" t="inlineStr">
        <is>
          <t>고압A</t>
        </is>
      </c>
      <c r="C14" s="82" t="inlineStr">
        <is>
          <t>Ⅰ</t>
        </is>
      </c>
      <c r="D14" s="62" t="n">
        <v>6090</v>
      </c>
      <c r="E14" s="52" t="inlineStr">
        <is>
          <t>최대부하</t>
        </is>
      </c>
      <c r="F14" s="63" t="n">
        <v>187.1</v>
      </c>
      <c r="G14" s="63" t="n">
        <v>111.4</v>
      </c>
      <c r="H14" s="63" t="n">
        <v>158.4</v>
      </c>
      <c r="I14" s="82" t="inlineStr">
        <is>
          <t>S05 / 확정</t>
        </is>
      </c>
    </row>
    <row r="15" ht="15" customHeight="1" s="42">
      <c r="A15" s="83" t="inlineStr">
        <is>
          <t>교육용(을)</t>
        </is>
      </c>
      <c r="B15" s="50" t="inlineStr">
        <is>
          <t>고압A</t>
        </is>
      </c>
      <c r="C15" s="82" t="inlineStr">
        <is>
          <t>Ⅱ</t>
        </is>
      </c>
      <c r="D15" s="62" t="n">
        <v>6980</v>
      </c>
      <c r="E15" s="56" t="inlineStr">
        <is>
          <t>경부하</t>
        </is>
      </c>
      <c r="F15" s="63" t="n">
        <v>72</v>
      </c>
      <c r="G15" s="63" t="n">
        <v>72</v>
      </c>
      <c r="H15" s="63" t="n">
        <v>76</v>
      </c>
      <c r="I15" s="82" t="inlineStr">
        <is>
          <t>S05 / 확정</t>
        </is>
      </c>
    </row>
    <row r="16" ht="15" customHeight="1" s="42">
      <c r="A16" s="83" t="inlineStr">
        <is>
          <t>교육용(을)</t>
        </is>
      </c>
      <c r="B16" s="50" t="inlineStr">
        <is>
          <t>고압A</t>
        </is>
      </c>
      <c r="C16" s="82" t="inlineStr">
        <is>
          <t>Ⅱ</t>
        </is>
      </c>
      <c r="D16" s="62" t="n">
        <v>6980</v>
      </c>
      <c r="E16" s="57" t="inlineStr">
        <is>
          <t>중간부하</t>
        </is>
      </c>
      <c r="F16" s="63" t="n">
        <v>116.7</v>
      </c>
      <c r="G16" s="63" t="n">
        <v>86.40000000000001</v>
      </c>
      <c r="H16" s="63" t="n">
        <v>115.2</v>
      </c>
      <c r="I16" s="82" t="inlineStr">
        <is>
          <t>S05 / 확정</t>
        </is>
      </c>
    </row>
    <row r="17" ht="15" customHeight="1" s="42">
      <c r="A17" s="83" t="inlineStr">
        <is>
          <t>교육용(을)</t>
        </is>
      </c>
      <c r="B17" s="50" t="inlineStr">
        <is>
          <t>고압A</t>
        </is>
      </c>
      <c r="C17" s="82" t="inlineStr">
        <is>
          <t>Ⅱ</t>
        </is>
      </c>
      <c r="D17" s="62" t="n">
        <v>6980</v>
      </c>
      <c r="E17" s="52" t="inlineStr">
        <is>
          <t>최대부하</t>
        </is>
      </c>
      <c r="F17" s="63" t="n">
        <v>182.6</v>
      </c>
      <c r="G17" s="63" t="n">
        <v>106.9</v>
      </c>
      <c r="H17" s="63" t="n">
        <v>153.9</v>
      </c>
      <c r="I17" s="82" t="inlineStr">
        <is>
          <t>S05 / 확정</t>
        </is>
      </c>
    </row>
    <row r="18" ht="15" customHeight="1" s="42">
      <c r="A18" s="83" t="inlineStr">
        <is>
          <t>교육용(을)</t>
        </is>
      </c>
      <c r="B18" s="50" t="inlineStr">
        <is>
          <t>고압B</t>
        </is>
      </c>
      <c r="C18" s="82" t="inlineStr">
        <is>
          <t>Ⅰ</t>
        </is>
      </c>
      <c r="D18" s="62" t="n">
        <v>6090</v>
      </c>
      <c r="E18" s="56" t="inlineStr">
        <is>
          <t>경부하</t>
        </is>
      </c>
      <c r="F18" s="63" t="n">
        <v>75</v>
      </c>
      <c r="G18" s="63" t="n">
        <v>75</v>
      </c>
      <c r="H18" s="63" t="n">
        <v>78.8</v>
      </c>
      <c r="I18" s="82" t="inlineStr">
        <is>
          <t>S05 / 확정</t>
        </is>
      </c>
    </row>
    <row r="19" ht="15" customHeight="1" s="42">
      <c r="A19" s="83" t="inlineStr">
        <is>
          <t>교육용(을)</t>
        </is>
      </c>
      <c r="B19" s="50" t="inlineStr">
        <is>
          <t>고압B</t>
        </is>
      </c>
      <c r="C19" s="82" t="inlineStr">
        <is>
          <t>Ⅰ</t>
        </is>
      </c>
      <c r="D19" s="62" t="n">
        <v>6090</v>
      </c>
      <c r="E19" s="57" t="inlineStr">
        <is>
          <t>중간부하</t>
        </is>
      </c>
      <c r="F19" s="63" t="n">
        <v>118.5</v>
      </c>
      <c r="G19" s="63" t="n">
        <v>89.2</v>
      </c>
      <c r="H19" s="63" t="n">
        <v>116.8</v>
      </c>
      <c r="I19" s="82" t="inlineStr">
        <is>
          <t>S05 / 확정</t>
        </is>
      </c>
    </row>
    <row r="20" ht="15" customHeight="1" s="42">
      <c r="A20" s="83" t="inlineStr">
        <is>
          <t>교육용(을)</t>
        </is>
      </c>
      <c r="B20" s="50" t="inlineStr">
        <is>
          <t>고압B</t>
        </is>
      </c>
      <c r="C20" s="82" t="inlineStr">
        <is>
          <t>Ⅰ</t>
        </is>
      </c>
      <c r="D20" s="62" t="n">
        <v>6090</v>
      </c>
      <c r="E20" s="52" t="inlineStr">
        <is>
          <t>최대부하</t>
        </is>
      </c>
      <c r="F20" s="63" t="n">
        <v>181.4</v>
      </c>
      <c r="G20" s="63" t="n">
        <v>109</v>
      </c>
      <c r="H20" s="63" t="n">
        <v>154.1</v>
      </c>
      <c r="I20" s="82" t="inlineStr">
        <is>
          <t>S05 / 확정</t>
        </is>
      </c>
    </row>
    <row r="21" ht="15" customHeight="1" s="42">
      <c r="A21" s="83" t="inlineStr">
        <is>
          <t>교육용(을)</t>
        </is>
      </c>
      <c r="B21" s="50" t="inlineStr">
        <is>
          <t>고압B</t>
        </is>
      </c>
      <c r="C21" s="82" t="inlineStr">
        <is>
          <t>Ⅱ</t>
        </is>
      </c>
      <c r="D21" s="62" t="n">
        <v>6980</v>
      </c>
      <c r="E21" s="56" t="inlineStr">
        <is>
          <t>경부하</t>
        </is>
      </c>
      <c r="F21" s="63" t="n">
        <v>70.5</v>
      </c>
      <c r="G21" s="63" t="n">
        <v>70.5</v>
      </c>
      <c r="H21" s="63" t="n">
        <v>74.3</v>
      </c>
      <c r="I21" s="82" t="inlineStr">
        <is>
          <t>S05 / 확정</t>
        </is>
      </c>
    </row>
    <row r="22" ht="15" customHeight="1" s="42">
      <c r="A22" s="83" t="inlineStr">
        <is>
          <t>교육용(을)</t>
        </is>
      </c>
      <c r="B22" s="50" t="inlineStr">
        <is>
          <t>고압B</t>
        </is>
      </c>
      <c r="C22" s="82" t="inlineStr">
        <is>
          <t>Ⅱ</t>
        </is>
      </c>
      <c r="D22" s="62" t="n">
        <v>6980</v>
      </c>
      <c r="E22" s="57" t="inlineStr">
        <is>
          <t>중간부하</t>
        </is>
      </c>
      <c r="F22" s="63" t="n">
        <v>114</v>
      </c>
      <c r="G22" s="63" t="n">
        <v>84.7</v>
      </c>
      <c r="H22" s="63" t="n">
        <v>112.3</v>
      </c>
      <c r="I22" s="82" t="inlineStr">
        <is>
          <t>S05 / 확정</t>
        </is>
      </c>
    </row>
    <row r="23" ht="15" customHeight="1" s="42">
      <c r="A23" s="83" t="inlineStr">
        <is>
          <t>교육용(을)</t>
        </is>
      </c>
      <c r="B23" s="50" t="inlineStr">
        <is>
          <t>고압B</t>
        </is>
      </c>
      <c r="C23" s="82" t="inlineStr">
        <is>
          <t>Ⅱ</t>
        </is>
      </c>
      <c r="D23" s="62" t="n">
        <v>6980</v>
      </c>
      <c r="E23" s="52" t="inlineStr">
        <is>
          <t>최대부하</t>
        </is>
      </c>
      <c r="F23" s="63" t="n">
        <v>176.9</v>
      </c>
      <c r="G23" s="63" t="n">
        <v>104.5</v>
      </c>
      <c r="H23" s="63" t="n">
        <v>149.6</v>
      </c>
      <c r="I23" s="82" t="inlineStr">
        <is>
          <t>S05 / 확정</t>
        </is>
      </c>
    </row>
  </sheetData>
  <autoFilter ref="A4:I23"/>
  <mergeCells count="2">
    <mergeCell ref="A5:I5"/>
    <mergeCell ref="A11:I11"/>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H13"/>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12" customWidth="1" style="41" min="1" max="1"/>
    <col width="14" customWidth="1" style="41" min="2" max="2"/>
    <col width="16" customWidth="1" style="41" min="3" max="3"/>
    <col width="14" customWidth="1" style="41" min="4" max="4"/>
    <col width="18" customWidth="1" style="41" min="5" max="5"/>
    <col width="14" customWidth="1" style="41" min="6" max="6"/>
    <col width="40" customWidth="1" style="41" min="7" max="7"/>
    <col width="16" customWidth="1" style="41" min="8" max="8"/>
  </cols>
  <sheetData>
    <row r="1" ht="21.6" customHeight="1" s="42">
      <c r="A1" s="43" t="inlineStr">
        <is>
          <t>농사용 / 가로등 / 심야전력</t>
        </is>
      </c>
    </row>
    <row r="2" ht="15" customHeight="1" s="42">
      <c r="A2" s="44" t="inlineStr">
        <is>
          <t>단가: 2025.04.01 요금표(S05)</t>
        </is>
      </c>
    </row>
    <row r="4" ht="30" customHeight="1" s="42">
      <c r="A4" s="47" t="inlineStr">
        <is>
          <t>종별</t>
        </is>
      </c>
      <c r="B4" s="47" t="inlineStr">
        <is>
          <t>구분</t>
        </is>
      </c>
      <c r="C4" s="47" t="inlineStr">
        <is>
          <t>기본요금</t>
        </is>
      </c>
      <c r="D4" s="47" t="inlineStr">
        <is>
          <t>여름(6~8월)</t>
        </is>
      </c>
      <c r="E4" s="47" t="inlineStr">
        <is>
          <t>봄·가을(3~5,9~10월)</t>
        </is>
      </c>
      <c r="F4" s="47" t="inlineStr">
        <is>
          <t>겨울(11~2월)</t>
        </is>
      </c>
      <c r="G4" s="47" t="inlineStr">
        <is>
          <t>비고</t>
        </is>
      </c>
      <c r="H4" s="47" t="inlineStr">
        <is>
          <t>근거 / 상태</t>
        </is>
      </c>
    </row>
    <row r="5" ht="30" customHeight="1" s="42">
      <c r="A5" s="83" t="inlineStr">
        <is>
          <t>농사용</t>
        </is>
      </c>
      <c r="B5" s="83" t="inlineStr">
        <is>
          <t>갑</t>
        </is>
      </c>
      <c r="C5" s="82" t="inlineStr">
        <is>
          <t>360원/kW</t>
        </is>
      </c>
      <c r="D5" s="63" t="n">
        <v>48.3</v>
      </c>
      <c r="E5" s="63" t="n">
        <v>48.3</v>
      </c>
      <c r="F5" s="63" t="n">
        <v>48.3</v>
      </c>
      <c r="G5" s="83" t="inlineStr">
        <is>
          <t>양수·양배수 등. 요금표상 계절 구분 없음</t>
        </is>
      </c>
      <c r="H5" s="82" t="inlineStr">
        <is>
          <t>A1 별표1 / 확정</t>
        </is>
      </c>
    </row>
    <row r="6" ht="30" customHeight="1" s="42">
      <c r="A6" s="83" t="inlineStr">
        <is>
          <t>농사용</t>
        </is>
      </c>
      <c r="B6" s="83" t="inlineStr">
        <is>
          <t>을(저압)</t>
        </is>
      </c>
      <c r="C6" s="82" t="inlineStr">
        <is>
          <t>1,150원/kW</t>
        </is>
      </c>
      <c r="D6" s="63" t="n">
        <v>65.90000000000001</v>
      </c>
      <c r="E6" s="63" t="n">
        <v>65.90000000000001</v>
      </c>
      <c r="F6" s="63" t="n">
        <v>65.90000000000001</v>
      </c>
      <c r="G6" s="83" t="inlineStr">
        <is>
          <t>요금표상 계절 구분 없음</t>
        </is>
      </c>
      <c r="H6" s="82" t="inlineStr">
        <is>
          <t>A1 별표1 / 확정</t>
        </is>
      </c>
    </row>
    <row r="7" ht="30" customHeight="1" s="42">
      <c r="A7" s="83" t="inlineStr">
        <is>
          <t>농사용</t>
        </is>
      </c>
      <c r="B7" s="83" t="inlineStr">
        <is>
          <t>을(고압A·B)</t>
        </is>
      </c>
      <c r="C7" s="82" t="inlineStr">
        <is>
          <t>1,210원/kW</t>
        </is>
      </c>
      <c r="D7" s="63" t="n">
        <v>68.59999999999999</v>
      </c>
      <c r="E7" s="63" t="n">
        <v>66.59999999999999</v>
      </c>
      <c r="F7" s="63" t="n">
        <v>68.59999999999999</v>
      </c>
      <c r="G7" s="83" t="n"/>
      <c r="H7" s="82" t="inlineStr">
        <is>
          <t>A1 별표1 / 확정</t>
        </is>
      </c>
    </row>
    <row r="8" ht="30" customHeight="1" s="42">
      <c r="A8" s="83" t="inlineStr">
        <is>
          <t>가로등</t>
        </is>
      </c>
      <c r="B8" s="83" t="inlineStr">
        <is>
          <t>갑(정액등)</t>
        </is>
      </c>
      <c r="C8" s="82" t="inlineStr">
        <is>
          <t>W당 47.2원</t>
        </is>
      </c>
      <c r="D8" s="50" t="n"/>
      <c r="E8" s="50" t="n"/>
      <c r="F8" s="50" t="n"/>
      <c r="G8" s="83" t="inlineStr">
        <is>
          <t>월 최저요금 1,220원</t>
        </is>
      </c>
      <c r="H8" s="82" t="inlineStr">
        <is>
          <t>A1 별표1 / 확정</t>
        </is>
      </c>
    </row>
    <row r="9" ht="30" customHeight="1" s="42">
      <c r="A9" s="83" t="inlineStr">
        <is>
          <t>가로등</t>
        </is>
      </c>
      <c r="B9" s="83" t="inlineStr">
        <is>
          <t>을(종량등)</t>
        </is>
      </c>
      <c r="C9" s="82" t="inlineStr">
        <is>
          <t>6,290원/kW</t>
        </is>
      </c>
      <c r="D9" s="63" t="n">
        <v>112.6</v>
      </c>
      <c r="E9" s="63" t="n">
        <v>112.6</v>
      </c>
      <c r="F9" s="63" t="n">
        <v>112.6</v>
      </c>
      <c r="G9" s="83" t="n"/>
      <c r="H9" s="82" t="inlineStr">
        <is>
          <t>A1 별표1 / 확정</t>
        </is>
      </c>
    </row>
    <row r="10" ht="30" customHeight="1" s="42">
      <c r="A10" s="83" t="inlineStr">
        <is>
          <t>심야전력</t>
        </is>
      </c>
      <c r="B10" s="83" t="inlineStr">
        <is>
          <t>갑</t>
        </is>
      </c>
      <c r="C10" s="50" t="inlineStr">
        <is>
          <t>없음</t>
        </is>
      </c>
      <c r="D10" s="63" t="n">
        <v>82.09999999999999</v>
      </c>
      <c r="E10" s="63" t="n">
        <v>82.09999999999999</v>
      </c>
      <c r="F10" s="63" t="n">
        <v>103.5</v>
      </c>
      <c r="G10" s="83" t="inlineStr">
        <is>
          <t>심야(22~08시) 전용. 기타계절 82.1 / 겨울 103.5</t>
        </is>
      </c>
      <c r="H10" s="78" t="inlineStr">
        <is>
          <t>S05 / 확인필요(선택공급약관 소관)</t>
        </is>
      </c>
    </row>
    <row r="11" ht="30" customHeight="1" s="42">
      <c r="A11" s="83" t="inlineStr">
        <is>
          <t>심야전력</t>
        </is>
      </c>
      <c r="B11" s="83" t="inlineStr">
        <is>
          <t>을</t>
        </is>
      </c>
      <c r="C11" s="50" t="inlineStr">
        <is>
          <t>없음</t>
        </is>
      </c>
      <c r="D11" s="63" t="n">
        <v>71.90000000000001</v>
      </c>
      <c r="E11" s="63" t="n">
        <v>71.90000000000001</v>
      </c>
      <c r="F11" s="63" t="n">
        <v>89</v>
      </c>
      <c r="G11" s="83" t="inlineStr">
        <is>
          <t>기타계절 71.9 / 겨울 89.0</t>
        </is>
      </c>
      <c r="H11" s="78" t="inlineStr">
        <is>
          <t>S05 / 확인필요(선택공급약관 소관)</t>
        </is>
      </c>
    </row>
    <row r="12" ht="30" customHeight="1" s="42">
      <c r="A12" s="83" t="inlineStr">
        <is>
          <t>심야전력</t>
        </is>
      </c>
      <c r="B12" s="83" t="inlineStr">
        <is>
          <t>을Ⅱ</t>
        </is>
      </c>
      <c r="C12" s="82" t="inlineStr">
        <is>
          <t>7,160원/kW</t>
        </is>
      </c>
      <c r="D12" s="63" t="n">
        <v>71.90000000000001</v>
      </c>
      <c r="E12" s="63" t="n">
        <v>71.90000000000001</v>
      </c>
      <c r="F12" s="63" t="n">
        <v>89</v>
      </c>
      <c r="G12" s="83" t="inlineStr">
        <is>
          <t>심야시간 단가. 기타시간 115.1원/kWh, 월 최저 kW당 710원</t>
        </is>
      </c>
      <c r="H12" s="78" t="inlineStr">
        <is>
          <t>S05 / 확인필요(선택공급약관 소관)</t>
        </is>
      </c>
    </row>
    <row r="13" ht="43.5" customHeight="1" s="42">
      <c r="A13" s="60" t="inlineStr">
        <is>
          <t>농사용·가로등 단가는 약관 별표1(2026.6.1 적용)로 확정. 심야전력은 약관 별표1에 항목이 없고, 2026.8.1판 시행세칙(232쪽)에도 단가표가 없다(언급만 있음) → 소관은 선택공급약관이며 신규 가입이 중단된 경과 요금제. 표의 심야전력 값은 2025.04 요금표 전재자료 기준이며 현행 여부 확인 필요. 참고로 약관 별표1에는 임시전력이 추가로 있으며, 임시전력(갑)은 주택용 요금, 임시전력(을)은 계약전력에 따라 일반용(갑)Ⅰ·Ⅱ 또는 일반용(을) 요금을 적용한다.</t>
        </is>
      </c>
    </row>
  </sheetData>
  <mergeCells count="1">
    <mergeCell ref="A13:H13"/>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G19"/>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24" customWidth="1" style="41" min="1" max="1"/>
    <col width="16" customWidth="1" style="41" min="2" max="2"/>
    <col width="12" customWidth="1" style="41" min="3" max="3"/>
    <col width="14" customWidth="1" style="41" min="4" max="4"/>
    <col width="18" customWidth="1" style="41" min="5" max="5"/>
    <col width="14" customWidth="1" style="41" min="6" max="6"/>
    <col width="26" customWidth="1" style="41" min="7" max="7"/>
  </cols>
  <sheetData>
    <row r="1" ht="21.6" customHeight="1" s="42">
      <c r="A1" s="43" t="inlineStr">
        <is>
          <t>전기자동차 충전전력요금 (별도 계약종별)</t>
        </is>
      </c>
    </row>
    <row r="2" ht="15" customHeight="1" s="42">
      <c r="A2" s="44" t="inlineStr">
        <is>
          <t>정정: 이전 버전의 '별도 종별 없음'은 오류. 한전 '전기자동차 충전전력요금'이 별도 존재하며, 2022.7 폐지된 것은 '특례할인'이다(S21·S22)</t>
        </is>
      </c>
    </row>
    <row r="4" ht="30" customHeight="1" s="42">
      <c r="A4" s="47" t="inlineStr">
        <is>
          <t>구분</t>
        </is>
      </c>
      <c r="B4" s="47" t="inlineStr">
        <is>
          <t>기본요금(원/kW)</t>
        </is>
      </c>
      <c r="C4" s="47" t="inlineStr">
        <is>
          <t>시간대</t>
        </is>
      </c>
      <c r="D4" s="47" t="inlineStr">
        <is>
          <t>여름(6~8월)</t>
        </is>
      </c>
      <c r="E4" s="47" t="inlineStr">
        <is>
          <t>봄·가을(3~5,9~10월)</t>
        </is>
      </c>
      <c r="F4" s="47" t="inlineStr">
        <is>
          <t>겨울(11~2월)</t>
        </is>
      </c>
      <c r="G4" s="47" t="inlineStr">
        <is>
          <t>근거 / 상태</t>
        </is>
      </c>
    </row>
    <row r="5" ht="15" customHeight="1" s="42">
      <c r="A5" s="83" t="inlineStr">
        <is>
          <t>저압 (단독·빌라 등)</t>
        </is>
      </c>
      <c r="B5" s="62" t="n">
        <v>2390</v>
      </c>
      <c r="C5" s="56" t="inlineStr">
        <is>
          <t>경부하</t>
        </is>
      </c>
      <c r="D5" s="63" t="n">
        <v>84.3</v>
      </c>
      <c r="E5" s="63" t="n">
        <v>85.40000000000001</v>
      </c>
      <c r="F5" s="63" t="n">
        <v>107.4</v>
      </c>
      <c r="G5" s="82" t="inlineStr">
        <is>
          <t>A2 별표4 제4호 / 확정</t>
        </is>
      </c>
    </row>
    <row r="6" ht="15" customHeight="1" s="42">
      <c r="A6" s="83" t="inlineStr">
        <is>
          <t>저압 (단독·빌라 등)</t>
        </is>
      </c>
      <c r="B6" s="62" t="n">
        <v>2390</v>
      </c>
      <c r="C6" s="57" t="inlineStr">
        <is>
          <t>중간부하</t>
        </is>
      </c>
      <c r="D6" s="63" t="n">
        <v>172</v>
      </c>
      <c r="E6" s="63" t="n">
        <v>97.2</v>
      </c>
      <c r="F6" s="63" t="n">
        <v>154.9</v>
      </c>
      <c r="G6" s="82" t="inlineStr">
        <is>
          <t>A2 별표4 제4호 / 확정</t>
        </is>
      </c>
    </row>
    <row r="7" ht="15" customHeight="1" s="42">
      <c r="A7" s="83" t="inlineStr">
        <is>
          <t>저압 (단독·빌라 등)</t>
        </is>
      </c>
      <c r="B7" s="62" t="n">
        <v>2390</v>
      </c>
      <c r="C7" s="52" t="inlineStr">
        <is>
          <t>최대부하</t>
        </is>
      </c>
      <c r="D7" s="63" t="n">
        <v>259.2</v>
      </c>
      <c r="E7" s="63" t="n">
        <v>102.1</v>
      </c>
      <c r="F7" s="63" t="n">
        <v>217.5</v>
      </c>
      <c r="G7" s="82" t="inlineStr">
        <is>
          <t>A2 별표4 제4호 / 확정</t>
        </is>
      </c>
    </row>
    <row r="8" ht="15" customHeight="1" s="42">
      <c r="A8" s="83" t="inlineStr">
        <is>
          <t>고압 (아파트 등)</t>
        </is>
      </c>
      <c r="B8" s="62" t="n">
        <v>2580</v>
      </c>
      <c r="C8" s="56" t="inlineStr">
        <is>
          <t>경부하</t>
        </is>
      </c>
      <c r="D8" s="63" t="n">
        <v>79.2</v>
      </c>
      <c r="E8" s="63" t="n">
        <v>80.2</v>
      </c>
      <c r="F8" s="63" t="n">
        <v>96.59999999999999</v>
      </c>
      <c r="G8" s="82" t="inlineStr">
        <is>
          <t>A2 별표4 제4호 / 확정</t>
        </is>
      </c>
    </row>
    <row r="9" ht="15" customHeight="1" s="42">
      <c r="A9" s="83" t="inlineStr">
        <is>
          <t>고압 (아파트 등)</t>
        </is>
      </c>
      <c r="B9" s="62" t="n">
        <v>2580</v>
      </c>
      <c r="C9" s="57" t="inlineStr">
        <is>
          <t>중간부하</t>
        </is>
      </c>
      <c r="D9" s="63" t="n">
        <v>137.4</v>
      </c>
      <c r="E9" s="63" t="n">
        <v>91</v>
      </c>
      <c r="F9" s="63" t="n">
        <v>127.7</v>
      </c>
      <c r="G9" s="82" t="inlineStr">
        <is>
          <t>A2 별표4 제4호 / 확정</t>
        </is>
      </c>
    </row>
    <row r="10" ht="15" customHeight="1" s="42">
      <c r="A10" s="83" t="inlineStr">
        <is>
          <t>고압 (아파트 등)</t>
        </is>
      </c>
      <c r="B10" s="62" t="n">
        <v>2580</v>
      </c>
      <c r="C10" s="52" t="inlineStr">
        <is>
          <t>최대부하</t>
        </is>
      </c>
      <c r="D10" s="63" t="n">
        <v>190.4</v>
      </c>
      <c r="E10" s="63" t="n">
        <v>94.90000000000001</v>
      </c>
      <c r="F10" s="63" t="n">
        <v>165.5</v>
      </c>
      <c r="G10" s="82" t="inlineStr">
        <is>
          <t>A2 별표4 제4호 / 확정</t>
        </is>
      </c>
    </row>
    <row r="11" ht="36" customHeight="1" s="42">
      <c r="A11" s="60" t="inlineStr">
        <is>
          <t>확정: 위 저압·고압(자가소비용) 단가는 세칙 별표4 제4호 전기자동차 충전전력 요금표(PDF 161쪽) 원문과 전량 일치. 교차검증: 2026.4 정부 발표의 EV 할인액(토 48.6원, 일·공휴일 42.7원)도 저압 봄·가을 중간부하 97.2원·경부하 85.4원의 정확히 50%와 일치(S03). 세칙에는 이 외에 충전사업자용 선택(Ⅰ)~(Ⅳ) 요금표가 별도로 있다(자가소비 고객은 선택 불가).</t>
        </is>
      </c>
    </row>
    <row r="13" ht="17.15" customHeight="1" s="42">
      <c r="A13" s="61" t="inlineStr">
        <is>
          <t>2026년 변경 사항</t>
        </is>
      </c>
    </row>
    <row r="14" ht="30" customHeight="1" s="42">
      <c r="A14" s="47" t="inlineStr">
        <is>
          <t>항목</t>
        </is>
      </c>
      <c r="B14" s="47" t="inlineStr">
        <is>
          <t>내용</t>
        </is>
      </c>
      <c r="C14" s="47" t="n"/>
      <c r="D14" s="47" t="n"/>
      <c r="E14" s="47" t="n"/>
      <c r="F14" s="47" t="n"/>
      <c r="G14" s="47" t="inlineStr">
        <is>
          <t>근거</t>
        </is>
      </c>
    </row>
    <row r="15" ht="31.5" customHeight="1" s="42">
      <c r="A15" s="83" t="inlineStr">
        <is>
          <t>약관상 근거</t>
        </is>
      </c>
      <c r="B15" s="83" t="inlineStr">
        <is>
          <t>약관 제18조의3(전기자동차 충전용설비에 대한 전기사용계약기준)이 별도 조문으로 존재하고, 부칙 2026.3.16 제8호도 '전기자동차 충전전력'을 별도 종별로 다룬다. 단가표는 별표1이 아니라 세칙 별표4 제4호 '전기자동차 충전전력 요금표'에 있음(자가소비용 저압/고압 + 충전사업자 선택Ⅰ~Ⅳ)</t>
        </is>
      </c>
      <c r="C15" s="70" t="n"/>
      <c r="D15" s="70" t="n"/>
      <c r="E15" s="70" t="n"/>
      <c r="F15" s="71" t="n"/>
      <c r="G15" s="82" t="inlineStr">
        <is>
          <t>A2 별표4 제4호·S03·S04·S22 / 확정</t>
        </is>
      </c>
    </row>
    <row r="16" ht="31.5" customHeight="1" s="42">
      <c r="A16" s="83" t="inlineStr">
        <is>
          <t>시간대 개편</t>
        </is>
      </c>
      <c r="B16" s="84" t="inlineStr">
        <is>
          <t>2026.4.16~ 계시별 개편 시간대 적용 (평일 최대부하 15~21시). 원격검침 불가 고객은 가능 시점에 소급 반영(부칙 제8호)</t>
        </is>
      </c>
      <c r="C16" s="70" t="n"/>
      <c r="D16" s="70" t="n"/>
      <c r="E16" s="70" t="n"/>
      <c r="F16" s="71" t="n"/>
      <c r="G16" s="82" t="inlineStr">
        <is>
          <t>S03·S04·S22 / 확정</t>
        </is>
      </c>
    </row>
    <row r="17" ht="31.5" customHeight="1" s="42">
      <c r="A17" s="83" t="inlineStr">
        <is>
          <t>봄·가을 주말·공휴일 할인</t>
        </is>
      </c>
      <c r="B17" s="84" t="inlineStr">
        <is>
          <t>2026.4.18~ 11~14시 전력량요금 50% (자가소비용 충전소 약 9.4만곳, 공공 급속충전기 약 1.3만기). 로밍요금은 제외. 세칙 제48조의7: 산업용(을)·EV 충전전력만 대상, 지역 제한 없음</t>
        </is>
      </c>
      <c r="C17" s="70" t="n"/>
      <c r="D17" s="70" t="n"/>
      <c r="E17" s="70" t="n"/>
      <c r="F17" s="71" t="n"/>
      <c r="G17" s="82" t="inlineStr">
        <is>
          <t>A2 제48조의7·S03·S04·S22 / 확정</t>
        </is>
      </c>
    </row>
    <row r="18" ht="31.5" customHeight="1" s="42">
      <c r="A18" s="83" t="inlineStr">
        <is>
          <t>할인액</t>
        </is>
      </c>
      <c r="B18" s="83" t="inlineStr">
        <is>
          <t>토요일 kWh당 48.6원, 일요일·공휴일 42.7원 (자가소비용 40.1~48.6원)</t>
        </is>
      </c>
      <c r="C18" s="70" t="n"/>
      <c r="D18" s="70" t="n"/>
      <c r="E18" s="70" t="n"/>
      <c r="F18" s="71" t="n"/>
      <c r="G18" s="82" t="inlineStr">
        <is>
          <t>S03·S04·S22 / 확정</t>
        </is>
      </c>
    </row>
    <row r="19" ht="31.5" customHeight="1" s="42">
      <c r="A19" s="83" t="inlineStr">
        <is>
          <t>특례할인 연혁</t>
        </is>
      </c>
      <c r="B19" s="84" t="inlineStr">
        <is>
          <t>2017~2021 기본요금·전력량요금 특례할인 → 단계 축소 → 2022.7 완전 폐지</t>
        </is>
      </c>
      <c r="C19" s="70" t="n"/>
      <c r="D19" s="70" t="n"/>
      <c r="E19" s="70" t="n"/>
      <c r="F19" s="71" t="n"/>
      <c r="G19" s="82" t="inlineStr">
        <is>
          <t>S03·S04·S22 / 확정</t>
        </is>
      </c>
    </row>
  </sheetData>
  <mergeCells count="6">
    <mergeCell ref="B16:F16"/>
    <mergeCell ref="B15:F15"/>
    <mergeCell ref="B17:F17"/>
    <mergeCell ref="B19:F19"/>
    <mergeCell ref="A11:G11"/>
    <mergeCell ref="B18:F18"/>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2.xml><?xml version="1.0" encoding="utf-8"?>
<worksheet xmlns="http://schemas.openxmlformats.org/spreadsheetml/2006/main">
  <sheetPr>
    <outlinePr summaryBelow="1" summaryRight="1"/>
    <pageSetUpPr/>
  </sheetPr>
  <dimension ref="A1:J78"/>
  <sheetViews>
    <sheetView showGridLines="0" workbookViewId="0">
      <pane ySplit="3" topLeftCell="A4" activePane="bottomLeft" state="frozen"/>
      <selection pane="bottomLeft" activeCell="A1" sqref="A1"/>
    </sheetView>
  </sheetViews>
  <sheetFormatPr baseColWidth="8" defaultRowHeight="15"/>
  <cols>
    <col width="24" customWidth="1" style="42" min="1" max="1"/>
    <col width="30" customWidth="1" style="42" min="2" max="2"/>
    <col width="30" customWidth="1" style="42" min="3" max="3"/>
    <col width="26" customWidth="1" style="42" min="4" max="4"/>
    <col width="26" customWidth="1" style="42" min="5" max="5"/>
    <col width="30" customWidth="1" style="42" min="6" max="6"/>
    <col width="26" customWidth="1" style="42" min="7" max="7"/>
    <col width="26" customWidth="1" style="42" min="8" max="8"/>
    <col width="26" customWidth="1" style="42" min="9" max="9"/>
    <col width="30" customWidth="1" style="42" min="10" max="10"/>
  </cols>
  <sheetData>
    <row r="1" ht="22" customHeight="1" s="42">
      <c r="A1" s="90" t="inlineStr">
        <is>
          <t>수요반응(DR) 제도 정리 — 육지·제주, 가정 HEMS 관점</t>
        </is>
      </c>
    </row>
    <row r="2" ht="46" customHeight="1" s="42">
      <c r="A2" s="98" t="inlineStr">
        <is>
          <t>근거: 전력시장운영규칙 제12장 수요반응자원의 거래(2026.7.24판, 출처 S35) · 별표26 정산기준 · 별표28 고객기준부하 · 전력거래소 「2025년 12월 수요자원거래시장 현황 및 운영정보」(2026.3 발간, S33) · 전력거래소 2026 사업실명제 내역서(S32) · 한전 선택공급약관 제3장 긴급절전 수요조정(S34). 셀 색상: 흰색=원문 확정 / 노랑=추정·산출 / 주황=확인필요. 핵심: DR 시장은 한전이 아니라 전력거래소(KPX)가 운영하고, 가정은 전력거래소와 직접 거래·정산할 수 없고(전력거래자 등록은 수요관리사업자만 가능, 제12.1.3조·제12.2.1조) 반드시 수요관리사업자(앱)의 고객으로 참여한다. 한전 자체 제도는 긴급절전(대형 사업장)과 에너지캐시백(주택, DR 아님)뿐이다.</t>
        </is>
      </c>
    </row>
    <row r="4" ht="20" customHeight="1" s="42">
      <c r="A4" s="92" t="inlineStr">
        <is>
          <t>A. 한눈에 보기 — 누가 운영하고, 가정은 어디에 해당하나</t>
        </is>
      </c>
      <c r="B4" s="70" t="n"/>
      <c r="C4" s="70" t="n"/>
      <c r="D4" s="70" t="n"/>
      <c r="E4" s="70" t="n"/>
      <c r="F4" s="70" t="n"/>
      <c r="G4" s="70" t="n"/>
      <c r="H4" s="70" t="n"/>
      <c r="I4" s="70" t="n"/>
      <c r="J4" s="71" t="n"/>
    </row>
    <row r="5" ht="32" customHeight="1" s="42">
      <c r="A5" s="94" t="inlineStr">
        <is>
          <t>구분</t>
        </is>
      </c>
      <c r="B5" s="94" t="inlineStr">
        <is>
          <t>운영 주체</t>
        </is>
      </c>
      <c r="C5" s="94" t="inlineStr">
        <is>
          <t>가정(주택용)이 해당하는 제도</t>
        </is>
      </c>
      <c r="D5" s="94" t="inlineStr">
        <is>
          <t>참여 경로</t>
        </is>
      </c>
      <c r="E5" s="94" t="inlineStr">
        <is>
          <t>보상 형태</t>
        </is>
      </c>
      <c r="F5" s="94" t="inlineStr">
        <is>
          <t>2026.2 참여 규모</t>
        </is>
      </c>
      <c r="G5" s="94" t="inlineStr">
        <is>
          <t>근거</t>
        </is>
      </c>
      <c r="H5" s="94" t="inlineStr">
        <is>
          <t>상태</t>
        </is>
      </c>
      <c r="I5" s="94" t="inlineStr"/>
      <c r="J5" s="94" t="inlineStr"/>
    </row>
    <row r="6" ht="64" customHeight="1" s="42">
      <c r="A6" s="95" t="inlineStr">
        <is>
          <t>전력거래소 수요자원거래시장</t>
        </is>
      </c>
      <c r="B6" s="96" t="inlineStr">
        <is>
          <t>전력거래소(KPX). 수요관리사업자가 자원을 등록하고 고객을 모집</t>
        </is>
      </c>
      <c r="C6" s="96" t="inlineStr">
        <is>
          <t>국민DR(감축), 플러스DR(증대). 둘은 중복 등록 가능</t>
        </is>
      </c>
      <c r="D6" s="96" t="inlineStr">
        <is>
          <t>수요관리사업자와 계약 → 사업자 앱/알림으로 발령 수신 → 실적은 AMI 계량으로 자동 산정</t>
        </is>
      </c>
      <c r="E6" s="96" t="inlineStr">
        <is>
          <t>KPX → 사업자에게 정산금(원/kWh) 지급 → 사업자가 계약에 따라 고객에게 현금·포인트·기부 등으로 배분</t>
        </is>
      </c>
      <c r="F6" s="96" t="inlineStr">
        <is>
          <t>국민DR 89,973고객 · 육지 플러스DR 43,061고객 · 제주 플러스DR 1,573고객</t>
        </is>
      </c>
      <c r="G6" s="96" t="inlineStr">
        <is>
          <t>S35 제12.1.3조 · S33 p.6</t>
        </is>
      </c>
      <c r="H6" s="96" t="inlineStr">
        <is>
          <t>확정</t>
        </is>
      </c>
    </row>
    <row r="7" ht="52" customHeight="1" s="42">
      <c r="A7" s="95" t="inlineStr">
        <is>
          <t>전력거래소 시장 (사업장용)</t>
        </is>
      </c>
      <c r="B7" s="96" t="inlineStr">
        <is>
          <t>동일</t>
        </is>
      </c>
      <c r="C7" s="96" t="inlineStr">
        <is>
          <t>해당 없음 — 표준DR(10MW~), 중소형DR(2MW~), 제주DR, 휴일DR, 주파수DR, EV충전자원(충전사업자)</t>
        </is>
      </c>
      <c r="D7" s="96" t="inlineStr">
        <is>
          <t>수요관리사업자 집합 자원</t>
        </is>
      </c>
      <c r="E7" s="96" t="inlineStr">
        <is>
          <t>기본정산금(원/kW-월) + 실적정산금(SMP/MGP 기준)</t>
        </is>
      </c>
      <c r="F7" s="96" t="inlineStr">
        <is>
          <t>27개 사업자 · 75자원 · 3,877고객 · 4,239MW</t>
        </is>
      </c>
      <c r="G7" s="96" t="inlineStr">
        <is>
          <t>S35 제12.2.2조 · S33 p.3</t>
        </is>
      </c>
      <c r="H7" s="96" t="inlineStr">
        <is>
          <t>확정</t>
        </is>
      </c>
    </row>
    <row r="8" ht="46" customHeight="1" s="42">
      <c r="A8" s="95" t="inlineStr">
        <is>
          <t>한전 긴급절전 수요조정</t>
        </is>
      </c>
      <c r="B8" s="96" t="inlineStr">
        <is>
          <t>한전 (선택공급약관 제3장)</t>
        </is>
      </c>
      <c r="C8" s="96" t="inlineStr">
        <is>
          <t>해당 없음 — 고압 일반·교육·산업용, 500kW 이상 감축 가능 고객(제주 100kW)</t>
        </is>
      </c>
      <c r="D8" s="96" t="inlineStr">
        <is>
          <t>한전과 1년 약정</t>
        </is>
      </c>
      <c r="E8" s="96" t="inlineStr">
        <is>
          <t>기본지원 500원/kW·년(12월 일괄) + 실적지원(별표4, 이행률별)</t>
        </is>
      </c>
      <c r="F8" s="96" t="inlineStr">
        <is>
          <t>—</t>
        </is>
      </c>
      <c r="G8" s="96" t="inlineStr">
        <is>
          <t>S34 제28·34조</t>
        </is>
      </c>
      <c r="H8" s="96" t="inlineStr">
        <is>
          <t>확정</t>
        </is>
      </c>
    </row>
    <row r="9" ht="46" customHeight="1" s="42">
      <c r="A9" s="95" t="inlineStr">
        <is>
          <t>한전 주택용 에너지캐시백</t>
        </is>
      </c>
      <c r="B9" s="96" t="inlineStr">
        <is>
          <t>한전 (세칙 제48조의6)</t>
        </is>
      </c>
      <c r="C9" s="96" t="inlineStr">
        <is>
          <t>해당 — 주택용 전 가구. DR이 아니라 월 사용량 절감 보상</t>
        </is>
      </c>
      <c r="D9" s="96" t="inlineStr">
        <is>
          <t>한전ON 신청</t>
        </is>
      </c>
      <c r="E9" s="96" t="inlineStr">
        <is>
          <t>절감률 구간별 30~120원/kWh(2026.7~12 한시), 여름 저녁 500원/kWh(월 1만원 한도, 종료)</t>
        </is>
      </c>
      <c r="F9" s="96" t="inlineStr">
        <is>
          <t>—</t>
        </is>
      </c>
      <c r="G9" s="96" t="inlineStr">
        <is>
          <t>A2 제48조의6</t>
        </is>
      </c>
      <c r="H9" s="96" t="inlineStr">
        <is>
          <t>확정</t>
        </is>
      </c>
    </row>
    <row r="10" ht="36" customHeight="1" s="42">
      <c r="A10" s="97" t="inlineStr">
        <is>
          <t>가정 HEMS가 실제로 붙일 수 있는 DR 신호는 두 개다: ① 국민DR — "지금 1시간 줄여라" (영업일 06~21시, 30분 전 통보) ② 플러스DR — "지금 더 써라" (태양광 잉여 시 9~18시, 하루 전 낙찰). 나머지는 사업장·발전기·대형 충전사업자용이다.</t>
        </is>
      </c>
    </row>
    <row r="12" ht="20" customHeight="1" s="42">
      <c r="A12" s="92" t="inlineStr">
        <is>
          <t>B. DR 종류 비교표 — 전력시장운영규칙 제12장 기준</t>
        </is>
      </c>
      <c r="B12" s="70" t="n"/>
      <c r="C12" s="70" t="n"/>
      <c r="D12" s="70" t="n"/>
      <c r="E12" s="70" t="n"/>
      <c r="F12" s="70" t="n"/>
      <c r="G12" s="70" t="n"/>
      <c r="H12" s="70" t="n"/>
      <c r="I12" s="70" t="n"/>
      <c r="J12" s="71" t="n"/>
    </row>
    <row r="13" ht="32" customHeight="1" s="42">
      <c r="A13" s="94" t="inlineStr">
        <is>
          <t>항목</t>
        </is>
      </c>
      <c r="B13" s="94" t="inlineStr">
        <is>
          <t>국민DR</t>
        </is>
      </c>
      <c r="C13" s="94" t="inlineStr">
        <is>
          <t>플러스DR</t>
        </is>
      </c>
      <c r="D13" s="94" t="inlineStr">
        <is>
          <t>표준DR</t>
        </is>
      </c>
      <c r="E13" s="94" t="inlineStr">
        <is>
          <t>중소형DR</t>
        </is>
      </c>
      <c r="F13" s="94" t="inlineStr">
        <is>
          <t>제주DR</t>
        </is>
      </c>
      <c r="G13" s="94" t="inlineStr">
        <is>
          <t>휴일DR (H-표준·중소형·제주)</t>
        </is>
      </c>
      <c r="H13" s="94" t="inlineStr">
        <is>
          <t>주파수DR</t>
        </is>
      </c>
      <c r="I13" s="94" t="inlineStr">
        <is>
          <t>EV충전자원</t>
        </is>
      </c>
      <c r="J13" s="94" t="inlineStr">
        <is>
          <t>한전 긴급절전 (참고)</t>
        </is>
      </c>
    </row>
    <row r="14" ht="60" customHeight="1" s="42">
      <c r="A14" s="95" t="inlineStr">
        <is>
          <t>한 줄 정의</t>
        </is>
      </c>
      <c r="B14" s="96" t="inlineStr">
        <is>
          <t>가정·소규모 고객이 요청 시 1시간 단위로 전기를 줄이면 보상</t>
        </is>
      </c>
      <c r="C14" s="96" t="inlineStr">
        <is>
          <t>재생에너지 잉여 시 전기를 더 쓰면 보상 (전력부하증대량 거래)</t>
        </is>
      </c>
      <c r="D14" s="96" t="inlineStr">
        <is>
          <t>대형 사업장 집합 자원. 의무감축 + 자발적 입찰</t>
        </is>
      </c>
      <c r="E14" s="96" t="inlineStr">
        <is>
          <t>중소 사업장 집합 자원</t>
        </is>
      </c>
      <c r="F14" s="96" t="inlineStr">
        <is>
          <t>제주 지역 사업장 자원</t>
        </is>
      </c>
      <c r="G14" s="96" t="inlineStr">
        <is>
          <t>봄·가을 휴일 낮에만 참여하는 자원 (2025.3 신설)</t>
        </is>
      </c>
      <c r="H14" s="96" t="inlineStr">
        <is>
          <t>주파수 하락 시 자동 차단되는 부하</t>
        </is>
      </c>
      <c r="I14" s="96" t="inlineStr">
        <is>
          <t>충전사업자용 EV 요금 사용 충전기를 묶은 자원 (2025.12.8 신설)</t>
        </is>
      </c>
      <c r="J14" s="96" t="inlineStr">
        <is>
          <t>한전 요청 시 500kW 이상 감축하는 약정</t>
        </is>
      </c>
    </row>
    <row r="15" ht="30" customHeight="1" s="42">
      <c r="A15" s="95" t="inlineStr">
        <is>
          <t>근거 조문</t>
        </is>
      </c>
      <c r="B15" s="96" t="inlineStr">
        <is>
          <t>제12.1.1조 4호</t>
        </is>
      </c>
      <c r="C15" s="96" t="inlineStr">
        <is>
          <t>제12.1.1조 6호, 제12.7절</t>
        </is>
      </c>
      <c r="D15" s="96" t="inlineStr">
        <is>
          <t>제12.1.1조 1호</t>
        </is>
      </c>
      <c r="E15" s="96" t="inlineStr">
        <is>
          <t>제12.1.1조 2호</t>
        </is>
      </c>
      <c r="F15" s="96" t="inlineStr">
        <is>
          <t>제12.1.1조 3호</t>
        </is>
      </c>
      <c r="G15" s="96" t="inlineStr">
        <is>
          <t>제12.1.1조 7~9호</t>
        </is>
      </c>
      <c r="H15" s="96" t="inlineStr">
        <is>
          <t>제12.1.1조 5호</t>
        </is>
      </c>
      <c r="I15" s="96" t="inlineStr">
        <is>
          <t>제12.1.1조 31호</t>
        </is>
      </c>
      <c r="J15" s="96" t="inlineStr">
        <is>
          <t>선택공급약관 제26~36조</t>
        </is>
      </c>
    </row>
    <row r="16" ht="24" customHeight="1" s="42">
      <c r="A16" s="95" t="inlineStr">
        <is>
          <t>신설</t>
        </is>
      </c>
      <c r="B16" s="96" t="inlineStr">
        <is>
          <t>2019.11.7</t>
        </is>
      </c>
      <c r="C16" s="96" t="inlineStr">
        <is>
          <t>2021.1.1 제주 → 2024.3.28 육지</t>
        </is>
      </c>
      <c r="D16" s="96" t="inlineStr">
        <is>
          <t>2014.11.3</t>
        </is>
      </c>
      <c r="E16" s="96" t="inlineStr">
        <is>
          <t>2016.12.30</t>
        </is>
      </c>
      <c r="F16" s="96" t="inlineStr">
        <is>
          <t>2022.5.31</t>
        </is>
      </c>
      <c r="G16" s="96" t="inlineStr">
        <is>
          <t>2025.2.11</t>
        </is>
      </c>
      <c r="H16" s="96" t="inlineStr">
        <is>
          <t>2020.11.1</t>
        </is>
      </c>
      <c r="I16" s="96" t="inlineStr">
        <is>
          <t>2025.12.8</t>
        </is>
      </c>
      <c r="J16" s="96" t="inlineStr">
        <is>
          <t>—</t>
        </is>
      </c>
    </row>
    <row r="17" ht="64" customHeight="1" s="42">
      <c r="A17" s="95" t="inlineStr">
        <is>
          <t>참여 가능 고객</t>
        </is>
      </c>
      <c r="B17" s="96" t="inlineStr">
        <is>
          <t>계약전력 200kW 이하 고객 + 주택용 전 가구 + 집합건물 개별세대. 단, 충전사업자용 EV 요금 사용자 제외</t>
        </is>
      </c>
      <c r="C17" s="96" t="inlineStr">
        <is>
          <t>판매사업자·구역전기사업자 고객, 직접구매자 (규모 제한 없음)</t>
        </is>
      </c>
      <c r="D17" s="96" t="inlineStr">
        <is>
          <t>판매사업자·구역전기 고객, 직접구매자</t>
        </is>
      </c>
      <c r="E17" s="96" t="inlineStr">
        <is>
          <t>동일. 단, 계약용량 2MW 초과 산업용 제외</t>
        </is>
      </c>
      <c r="F17" s="96" t="inlineStr">
        <is>
          <t>제주 지역 고객</t>
        </is>
      </c>
      <c r="G17" s="96" t="inlineStr">
        <is>
          <t>표준/중소형/제주와 동일 기준</t>
        </is>
      </c>
      <c r="H17" s="96" t="inlineStr">
        <is>
          <t>주파수연계 감축이 가능한 부하</t>
        </is>
      </c>
      <c r="I17" s="96" t="inlineStr">
        <is>
          <t>중소형DR·제주DR 중 충전사업자용 EV 요금 사용자</t>
        </is>
      </c>
      <c r="J17" s="96" t="inlineStr">
        <is>
          <t>고압 일반·교육·산업용, 원격검침 가능, 500kW 이상 감축</t>
        </is>
      </c>
    </row>
    <row r="18" ht="40" customHeight="1" s="42">
      <c r="A18" s="95" t="inlineStr">
        <is>
          <t>지역 구분</t>
        </is>
      </c>
      <c r="B18" s="96" t="inlineStr">
        <is>
          <t>수도권 / 비수도권 / 제주권</t>
        </is>
      </c>
      <c r="C18" s="96" t="inlineStr">
        <is>
          <t>육지권(세부 지역별 등록) / 제주권</t>
        </is>
      </c>
      <c r="D18" s="96" t="inlineStr">
        <is>
          <t>수도권 / 비수도권</t>
        </is>
      </c>
      <c r="E18" s="96" t="inlineStr">
        <is>
          <t>수도권 / 비수도권</t>
        </is>
      </c>
      <c r="F18" s="96" t="inlineStr">
        <is>
          <t>제주권</t>
        </is>
      </c>
      <c r="G18" s="96" t="inlineStr">
        <is>
          <t>표준·중소형: 수도권/비수도권, 제주: 제주권</t>
        </is>
      </c>
      <c r="H18" s="96" t="inlineStr">
        <is>
          <t>육지권</t>
        </is>
      </c>
      <c r="I18" s="96" t="inlineStr">
        <is>
          <t>자원 유형에 따름</t>
        </is>
      </c>
      <c r="J18" s="96" t="inlineStr">
        <is>
          <t>전국 (제주는 100kW 기준)</t>
        </is>
      </c>
    </row>
    <row r="19" ht="46" customHeight="1" s="42">
      <c r="A19" s="95" t="inlineStr">
        <is>
          <t>자원 규모 요건</t>
        </is>
      </c>
      <c r="B19" s="96" t="inlineStr">
        <is>
          <t>제한 없음 (고객 10개 이상)</t>
        </is>
      </c>
      <c r="C19" s="96" t="inlineStr">
        <is>
          <t>제한 없음 (고객 1개 이상, 입찰 최소 0.01MWh)</t>
        </is>
      </c>
      <c r="D19" s="96" t="inlineStr">
        <is>
          <t>의무감축 10MW 초과 ~ 500MW (고객 10개 이상)</t>
        </is>
      </c>
      <c r="E19" s="96" t="inlineStr">
        <is>
          <t>2MW 초과 ~ 50MW (고객 10개 이상)</t>
        </is>
      </c>
      <c r="F19" s="96" t="inlineStr">
        <is>
          <t>2MW 초과 ~ 500MW</t>
        </is>
      </c>
      <c r="G19" s="96" t="inlineStr">
        <is>
          <t>표준·중소형·제주와 동일</t>
        </is>
      </c>
      <c r="H19" s="96" t="inlineStr">
        <is>
          <t>감축예상용량 1MW 이상 (고객 1개 이상)</t>
        </is>
      </c>
      <c r="I19" s="96" t="inlineStr">
        <is>
          <t>1MW 초과 ~ 50MW</t>
        </is>
      </c>
      <c r="J19" s="96" t="inlineStr">
        <is>
          <t>A형 3,000kW 또는 CBL 20% / B형 500kW</t>
        </is>
      </c>
    </row>
    <row r="20" ht="70" customHeight="1" s="42">
      <c r="A20" s="95" t="inlineStr">
        <is>
          <t>발령·거래 시간</t>
        </is>
      </c>
      <c r="B20" s="96" t="inlineStr">
        <is>
          <t>영업일 06~21시, 1시간 단위, 비연속 발령, 감축시작 30분 전 통보. 미발령 월은 월 1회 감축시험(1시간)</t>
        </is>
      </c>
      <c r="C20" s="96" t="inlineStr">
        <is>
          <t>매일 09~18시 입찰. 제주: 하루전에너지가격 0원 이하 + 출력제어량 기준 초과 시 낙찰. 육지: 기준 태양광이용률·수요구간별 증대필요량</t>
        </is>
      </c>
      <c r="D20" s="96" t="inlineStr">
        <is>
          <t>영업일 09~20시(12~13시 제외), 60분 전 통보</t>
        </is>
      </c>
      <c r="E20" s="96" t="inlineStr">
        <is>
          <t>동일</t>
        </is>
      </c>
      <c r="F20" s="96" t="inlineStr">
        <is>
          <t>영업일 10~21시</t>
        </is>
      </c>
      <c r="G20" s="96" t="inlineStr">
        <is>
          <t>봄(3~5월·설 연휴)·가을(9~11월) 휴일 10~17시</t>
        </is>
      </c>
      <c r="H20" s="96" t="inlineStr">
        <is>
          <t>기준주파수 59.85/59.80/59.65/59.60/59.40Hz 단계별 자동</t>
        </is>
      </c>
      <c r="I20" s="96" t="inlineStr">
        <is>
          <t>중소형/제주DR 규칙 준용</t>
        </is>
      </c>
      <c r="J20" s="96" t="inlineStr">
        <is>
          <t>1시간 전 예고, 1일 1~4시간</t>
        </is>
      </c>
    </row>
    <row r="21" ht="56" customHeight="1" s="42">
      <c r="A21" s="95" t="inlineStr">
        <is>
          <t>기준부하(CBL)</t>
        </is>
      </c>
      <c r="B21" s="96" t="inlineStr">
        <is>
          <t>별표28 방식 중 전력거래소가 매월 지정(Mid(4/6), Mid(8/10) 등). 자원 단위로 합산 산정</t>
        </is>
      </c>
      <c r="C21" s="96" t="inlineStr">
        <is>
          <t>전력거래기간 전 KPX 지정 (Mid(4/6), 휴일은 H-Mid(4/6))</t>
        </is>
      </c>
      <c r="D21" s="96" t="inlineStr">
        <is>
          <t>사업자가 고객별 선택 (Max(4/5), Mid(6/10) 등)</t>
        </is>
      </c>
      <c r="E21" s="96" t="inlineStr">
        <is>
          <t>동일</t>
        </is>
      </c>
      <c r="F21" s="96" t="inlineStr">
        <is>
          <t>동일</t>
        </is>
      </c>
      <c r="G21" s="96" t="inlineStr">
        <is>
          <t>동일</t>
        </is>
      </c>
      <c r="H21" s="96" t="inlineStr">
        <is>
          <t>Past(10min): 직전 10분 사용량 기준</t>
        </is>
      </c>
      <c r="I21" s="96" t="inlineStr">
        <is>
          <t>자원 단위 합산</t>
        </is>
      </c>
      <c r="J21" s="96" t="inlineStr">
        <is>
          <t>직전 영업일 10일 중 최고·최저 2일 제외 6일 평균</t>
        </is>
      </c>
    </row>
    <row r="22" ht="64" customHeight="1" s="42">
      <c r="A22" s="95" t="inlineStr">
        <is>
          <t>정산 구조</t>
        </is>
      </c>
      <c r="B22" s="96" t="inlineStr">
        <is>
          <t>실적급 단가 × 감축량. 실적급 단가 = 연간 기본정산금 단가(RBP, 원/kW) ÷ 최대감축시간(MRT) + MGP. 기본정산금 없음</t>
        </is>
      </c>
      <c r="C22" s="96" t="inlineStr">
        <is>
          <t>증대량 × 단가(원/kWh). 2025년 육지 50원, 제주 95~97원</t>
        </is>
      </c>
      <c r="D22" s="96" t="inlineStr">
        <is>
          <t>기본정산금(원/kW-월, 고정+차등) + 실적정산금(SMP·MGP). 위약금 있음</t>
        </is>
      </c>
      <c r="E22" s="96" t="inlineStr">
        <is>
          <t>동일</t>
        </is>
      </c>
      <c r="F22" s="96" t="inlineStr">
        <is>
          <t>동일</t>
        </is>
      </c>
      <c r="G22" s="96" t="inlineStr">
        <is>
          <t>고정기본정산금만 (여름·겨울 미운영)</t>
        </is>
      </c>
      <c r="H22" s="96" t="inlineStr">
        <is>
          <t>원/kW-10분 단가 + 운전유지비</t>
        </is>
      </c>
      <c r="I22" s="96" t="inlineStr">
        <is>
          <t>중소형/제주DR 준용</t>
        </is>
      </c>
      <c r="J22" s="96" t="inlineStr">
        <is>
          <t>기본 500원/kW·년 + 실적(별표4)</t>
        </is>
      </c>
    </row>
    <row r="23" ht="64" customHeight="1" s="42">
      <c r="A23" s="95" t="inlineStr">
        <is>
          <t>2025년 단가 (KPX 공표)</t>
        </is>
      </c>
      <c r="B23" s="99" t="inlineStr">
        <is>
          <t>육지 RBP 67,277원/kW (12월 67,253), 제주 76,562원/kW. 실적 평균 ≈ 1,625원/kWh (2025 정산금 12.97억 ÷ 798,187kWh)</t>
        </is>
      </c>
      <c r="C23" s="96" t="inlineStr">
        <is>
          <t>육지 50원/kWh, 제주 96~97원/kWh</t>
        </is>
      </c>
      <c r="D23" s="96" t="inlineStr">
        <is>
          <t>고정기본정산금 2025.12 2,862원/kW-월 (1~12월 862~3,075)</t>
        </is>
      </c>
      <c r="E23" s="96" t="inlineStr">
        <is>
          <t>표준과 동일</t>
        </is>
      </c>
      <c r="F23" s="96" t="inlineStr">
        <is>
          <t>3,526원/kW-월 (1,095~3,835)</t>
        </is>
      </c>
      <c r="G23" s="96" t="inlineStr">
        <is>
          <t>598~972원/kW-월 (9~11월)</t>
        </is>
      </c>
      <c r="H23" s="96" t="inlineStr">
        <is>
          <t>39,519~41,555원/kW-10m</t>
        </is>
      </c>
      <c r="I23" s="96" t="inlineStr">
        <is>
          <t>—</t>
        </is>
      </c>
      <c r="J23" s="96" t="inlineStr">
        <is>
          <t>기본 500원/kW·년</t>
        </is>
      </c>
    </row>
    <row r="24" ht="56" customHeight="1" s="42">
      <c r="A24" s="95" t="inlineStr">
        <is>
          <t>2026.2 참여 현황</t>
        </is>
      </c>
      <c r="B24" s="96" t="inlineStr">
        <is>
          <t>12개 사업자 · 214자원 · 89,973고객</t>
        </is>
      </c>
      <c r="C24" s="96" t="inlineStr">
        <is>
          <t>육지 10사업자·172자원·43,061고객·2,110MW / 제주 7사업자·26자원·1,573고객</t>
        </is>
      </c>
      <c r="D24" s="96" t="inlineStr">
        <is>
          <t>수도권 609MW·555고객, 비수도권 3,183MW·1,240고객</t>
        </is>
      </c>
      <c r="E24" s="96" t="inlineStr">
        <is>
          <t>수도권 185MW·753고객, 비수도권 241MW·1,257고객</t>
        </is>
      </c>
      <c r="F24" s="96" t="inlineStr">
        <is>
          <t>22MW·72고객</t>
        </is>
      </c>
      <c r="G24" s="96" t="inlineStr">
        <is>
          <t>(겨울 미운영) 11차 956MW·121고객</t>
        </is>
      </c>
      <c r="H24" s="96" t="inlineStr">
        <is>
          <t>1단계 639MW·58고객, 3단계 278MW·30고객</t>
        </is>
      </c>
      <c r="I24" s="96" t="inlineStr">
        <is>
          <t>(신설, 별도 통계 없음)</t>
        </is>
      </c>
      <c r="J24" s="96" t="inlineStr">
        <is>
          <t>—</t>
        </is>
      </c>
    </row>
    <row r="25" ht="56" customHeight="1" s="42">
      <c r="A25" s="95" t="inlineStr">
        <is>
          <t>2025년 실적</t>
        </is>
      </c>
      <c r="B25" s="96" t="inlineStr">
        <is>
          <t>45시간 발령 · 798,187kWh 감축 · 정산금 12.97억원 (누적 2020~25: 304회, 978MWh, 16.1억)</t>
        </is>
      </c>
      <c r="C25" s="96" t="inlineStr">
        <is>
          <t>육지: 16일 63시간 30,725MWh 13.1억원 (3~6월). 제주: 표에 2023년까지만 수록</t>
        </is>
      </c>
      <c r="D25" s="96" t="inlineStr">
        <is>
          <t>자발적DR 연간 낙찰 15만MWh대, 신뢰성 감축시험 4,209~4,945MWh/회</t>
        </is>
      </c>
      <c r="E25" s="96" t="inlineStr"/>
      <c r="F25" s="96" t="inlineStr"/>
      <c r="G25" s="96" t="inlineStr">
        <is>
          <t>2025.9 1,081MWh</t>
        </is>
      </c>
      <c r="H25" s="96" t="inlineStr">
        <is>
          <t>2025 운전유지비 18.6억</t>
        </is>
      </c>
      <c r="I25" s="96" t="inlineStr">
        <is>
          <t>—</t>
        </is>
      </c>
      <c r="J25" s="96" t="inlineStr">
        <is>
          <t>—</t>
        </is>
      </c>
    </row>
    <row r="26" ht="40" customHeight="1" s="42">
      <c r="A26" s="95" t="inlineStr">
        <is>
          <t>다른 DR과 중복 등록</t>
        </is>
      </c>
      <c r="B26" s="96" t="inlineStr">
        <is>
          <t>불가 (1고객 1자원 원칙)</t>
        </is>
      </c>
      <c r="C26" s="96" t="inlineStr">
        <is>
          <t>가능 — 플러스DR 고객은 다른 자원과 중복 등록 허용</t>
        </is>
      </c>
      <c r="D26" s="96" t="inlineStr">
        <is>
          <t>불가</t>
        </is>
      </c>
      <c r="E26" s="96" t="inlineStr">
        <is>
          <t>불가</t>
        </is>
      </c>
      <c r="F26" s="96" t="inlineStr">
        <is>
          <t>불가</t>
        </is>
      </c>
      <c r="G26" s="96" t="inlineStr">
        <is>
          <t>가능</t>
        </is>
      </c>
      <c r="H26" s="96" t="inlineStr">
        <is>
          <t>가능(양수 제외)</t>
        </is>
      </c>
      <c r="I26" s="96" t="inlineStr">
        <is>
          <t>불가</t>
        </is>
      </c>
      <c r="J26" s="96" t="inlineStr">
        <is>
          <t>긴급절전은 시장 DR과 중복 참여 가능(제12.2.3조 ③3 예외)</t>
        </is>
      </c>
    </row>
    <row r="27" ht="46" customHeight="1" s="42">
      <c r="A27" s="95" t="inlineStr">
        <is>
          <t>가정 HEMS 관련성</t>
        </is>
      </c>
      <c r="B27" s="96" t="inlineStr">
        <is>
          <t>★ 핵심. 주택용은 자동으로 자격 충족. 히트펌프·EV·온수기 1시간 지연이 곧 감축량</t>
        </is>
      </c>
      <c r="C27" s="96" t="inlineStr">
        <is>
          <t>★ 핵심. EV 충전·ESS 충전·온수/축열 사전 가동을 잉여 시간으로 이동</t>
        </is>
      </c>
      <c r="D27" s="96" t="inlineStr">
        <is>
          <t>없음</t>
        </is>
      </c>
      <c r="E27" s="96" t="inlineStr">
        <is>
          <t>없음 (아파트 공용부 정도)</t>
        </is>
      </c>
      <c r="F27" s="96" t="inlineStr">
        <is>
          <t>없음</t>
        </is>
      </c>
      <c r="G27" s="96" t="inlineStr">
        <is>
          <t>없음</t>
        </is>
      </c>
      <c r="H27" s="96" t="inlineStr">
        <is>
          <t>없음</t>
        </is>
      </c>
      <c r="I27" s="96" t="inlineStr">
        <is>
          <t>아파트 충전사업자 통해 간접 관련</t>
        </is>
      </c>
      <c r="J27" s="96" t="inlineStr">
        <is>
          <t>없음</t>
        </is>
      </c>
    </row>
    <row r="28" ht="40" customHeight="1" s="42">
      <c r="A28" s="97" t="inlineStr">
        <is>
          <t>"2025년 단가" 행의 국민DR 평균 1,625원/kWh는 KPX 연간 정산금÷감축량으로 역산한 값(노랑)이다. 실제 고객이 받는 금액은 수요관리사업자가 이 정산금에서 운영비를 떼고 배분하므로 더 작다(사업자 계약별, 공통값 없음). 2026년 RBP·MRT는 KPX가 매월 공표하는 현황 보고서로 갱신할 것.</t>
        </is>
      </c>
    </row>
    <row r="30" ht="20" customHeight="1" s="42">
      <c r="A30" s="92" t="inlineStr">
        <is>
          <t>C. 국민DR (에너지쉼표) — 가정 HEMS가 붙는 감축 신호</t>
        </is>
      </c>
      <c r="B30" s="70" t="n"/>
      <c r="C30" s="70" t="n"/>
      <c r="D30" s="70" t="n"/>
      <c r="E30" s="70" t="n"/>
      <c r="F30" s="70" t="n"/>
      <c r="G30" s="70" t="n"/>
      <c r="H30" s="70" t="n"/>
      <c r="I30" s="70" t="n"/>
      <c r="J30" s="71" t="n"/>
    </row>
    <row r="31" ht="32" customHeight="1" s="42">
      <c r="A31" s="94" t="inlineStr">
        <is>
          <t>항목</t>
        </is>
      </c>
      <c r="B31" s="94" t="inlineStr">
        <is>
          <t>내용</t>
        </is>
      </c>
      <c r="C31" s="94" t="inlineStr">
        <is>
          <t>근거</t>
        </is>
      </c>
      <c r="D31" s="94" t="inlineStr">
        <is>
          <t>상태</t>
        </is>
      </c>
      <c r="E31" s="94" t="inlineStr"/>
      <c r="F31" s="94" t="inlineStr"/>
      <c r="G31" s="94" t="inlineStr"/>
      <c r="H31" s="94" t="inlineStr"/>
      <c r="I31" s="94" t="inlineStr"/>
      <c r="J31" s="94" t="inlineStr"/>
    </row>
    <row r="32" ht="40" customHeight="1" s="42">
      <c r="A32" s="95" t="inlineStr">
        <is>
          <t>참여 자격</t>
        </is>
      </c>
      <c r="B32" s="96" t="inlineStr">
        <is>
          <t>① 계약전력 200kW 이하 고객(상가·소규모 사업장 포함) ② 계약종별 주택용 전 가구 ③ 집합건물(아파트) 개별세대. 충전사업자용 EV 요금 사용자는 제외</t>
        </is>
      </c>
      <c r="C32" s="96" t="inlineStr">
        <is>
          <t>S35 제12.1.1조 4호 (2025.12.8 개정)</t>
        </is>
      </c>
      <c r="D32" s="96" t="inlineStr">
        <is>
          <t>확정</t>
        </is>
      </c>
    </row>
    <row r="33" ht="46" customHeight="1" s="42">
      <c r="A33" s="95" t="inlineStr">
        <is>
          <t>참여 경로</t>
        </is>
      </c>
      <c r="B33" s="96" t="inlineStr">
        <is>
          <t>가정은 KPX와 직접 거래 불가(전력거래자 등록 요건: 지능형전력망법 수요반응관리서비스제공사업자 등록증 등 — 사업자만 가능). 수요관리사업자(2026.2 기준 12개)가 국민DR 자원을 등록하고 고객을 모집. 고객은 사업자 앱에서 가입 → 사업자가 KPX에 고객 등록. 등록 신청은 매월 15~20일, 익월 1일부터 거래 적용</t>
        </is>
      </c>
      <c r="C33" s="96" t="inlineStr">
        <is>
          <t>S35 제12.2.2조 ①3, 제12.2.3조 ①2</t>
        </is>
      </c>
      <c r="D33" s="96" t="inlineStr">
        <is>
          <t>확정</t>
        </is>
      </c>
    </row>
    <row r="34" ht="28" customHeight="1" s="42">
      <c r="A34" s="95" t="inlineStr">
        <is>
          <t>전력거래기간</t>
        </is>
      </c>
      <c r="B34" s="96" t="inlineStr">
        <is>
          <t>홀수년 12.1 ~ 다다음해 11.30 (2년). 현재 기간: 2025.12.1 ~ 2027.11.30</t>
        </is>
      </c>
      <c r="C34" s="96" t="inlineStr">
        <is>
          <t>S35 제12.2.2조 ①3</t>
        </is>
      </c>
      <c r="D34" s="96" t="inlineStr">
        <is>
          <t>확정</t>
        </is>
      </c>
    </row>
    <row r="35" ht="40" customHeight="1" s="42">
      <c r="A35" s="95" t="inlineStr">
        <is>
          <t>자원 구성</t>
        </is>
      </c>
      <c r="B35" s="96" t="inlineStr">
        <is>
          <t>지역별(수도권/비수도권/제주권) 1개 자원에 고객 10개 이상. 의무감축용량 제한 없음. 1고객 1자원 원칙 → 국민DR 고객이 다른 국민DR 자원에 중복 가입 불가, 단 플러스DR 고객으로는 중복 가능</t>
        </is>
      </c>
      <c r="C35" s="96" t="inlineStr">
        <is>
          <t>S35 제12.2.2조 ③, 제12.2.3조 ③2</t>
        </is>
      </c>
      <c r="D35" s="96" t="inlineStr">
        <is>
          <t>확정</t>
        </is>
      </c>
    </row>
    <row r="36" ht="46" customHeight="1" s="42">
      <c r="A36" s="95" t="inlineStr">
        <is>
          <t>발령 규칙</t>
        </is>
      </c>
      <c r="B36" s="96" t="inlineStr">
        <is>
          <t>영업일(토·공휴일 제외) 06:00~21:00 사이, 감축시작·종료는 매시 정각·15·30·45분에 발령 가능, 감축시작 최소 30분 전 통보, 일일 발령은 비연속. 플러스DR 증대 요청 시간과는 겹치지 않게 발령</t>
        </is>
      </c>
      <c r="C36" s="96" t="inlineStr">
        <is>
          <t>S35 제12.4.3.1조 ①2·②</t>
        </is>
      </c>
      <c r="D36" s="96" t="inlineStr">
        <is>
          <t>확정</t>
        </is>
      </c>
    </row>
    <row r="37" ht="34" customHeight="1" s="42">
      <c r="A37" s="95" t="inlineStr">
        <is>
          <t>감축시험</t>
        </is>
      </c>
      <c r="B37" s="96" t="inlineStr">
        <is>
          <t>매월 20일 기준 그 달에 의무감축요청이 없었으면 마지막 영업일까지 1회 시행, 감축지속시간 1시간. 실적정산금은 정상 발령과 구분 정산</t>
        </is>
      </c>
      <c r="C37" s="96" t="inlineStr">
        <is>
          <t>S35 제12.3.2.1조 ①3·④</t>
        </is>
      </c>
      <c r="D37" s="96" t="inlineStr">
        <is>
          <t>확정</t>
        </is>
      </c>
    </row>
    <row r="38" ht="52" customHeight="1" s="42">
      <c r="A38" s="95" t="inlineStr">
        <is>
          <t>기준부하(CBL)</t>
        </is>
      </c>
      <c r="B38" s="96" t="inlineStr">
        <is>
          <t>별표28 방식 중 KPX가 매월 시작 영업일 2일 전까지 지정·공지 (국민DR 적용 가능: Mid(4/6) = 최근 영업일 6일 중 최대·최소 1일 제외 4일 평균, Mid(8/10) = 10일 중 최대·최소 1일 제외 8일 평균). 자원 단위로 참여 고객 사용량을 합산해 산정. 데이터 누락 고객은 제외하고 산정</t>
        </is>
      </c>
      <c r="C38" s="96" t="inlineStr">
        <is>
          <t>S35 제12.5.2.1조 ①2, 별표28 1.3·1.4</t>
        </is>
      </c>
      <c r="D38" s="96" t="inlineStr">
        <is>
          <t>확정</t>
        </is>
      </c>
    </row>
    <row r="39" ht="34" customHeight="1" s="42">
      <c r="A39" s="95" t="inlineStr">
        <is>
          <t>감축량 평가</t>
        </is>
      </c>
      <c r="B39" s="96" t="inlineStr">
        <is>
          <t>자원 CBL − 참여 고객의 감축시간 사용량 합. 사업자는 발령 후 영업일 5일 내 참여 고객 목록 제출</t>
        </is>
      </c>
      <c r="C39" s="96" t="inlineStr">
        <is>
          <t>S35 제12.5.2.3조 ①2, 제12.5.2.1조 ①2다</t>
        </is>
      </c>
      <c r="D39" s="96" t="inlineStr">
        <is>
          <t>확정</t>
        </is>
      </c>
    </row>
    <row r="40" ht="46" customHeight="1" s="42">
      <c r="A40" s="95" t="inlineStr">
        <is>
          <t>정산 (KPX → 사업자)</t>
        </is>
      </c>
      <c r="B40" s="96" t="inlineStr">
        <is>
          <t>기본정산금 없음. 실적정산금 = 감축이행량 × {RBP(연간 기본정산금 단가, 원/kW) ÷ MRT(최대감축시간) + MGP(당시 최고 변동비)} × 반응시간 가중치. 2025년 RBP: 육지 67,277원/kW, 제주 76,562원/kW</t>
        </is>
      </c>
      <c r="C40" s="96" t="inlineStr">
        <is>
          <t>S35 별표26 2.가, S33 p.11</t>
        </is>
      </c>
      <c r="D40" s="96" t="inlineStr">
        <is>
          <t>확정</t>
        </is>
      </c>
    </row>
    <row r="41" ht="40" customHeight="1" s="42">
      <c r="A41" s="95" t="inlineStr">
        <is>
          <t>실제 평균 정산 단가</t>
        </is>
      </c>
      <c r="B41" s="99" t="inlineStr">
        <is>
          <t>2025년: 1,297,300천원 ÷ 798,187kWh ≈ 1,625원/kWh. 2025.12.17 18시 발령: 22,221kWh → 34,369천원(1,547원/kWh). 2025.12.29 11시: 13,039kWh → 20,136천원</t>
        </is>
      </c>
      <c r="C41" s="96" t="inlineStr">
        <is>
          <t>S33 p.18~19 (역산)</t>
        </is>
      </c>
      <c r="D41" s="96" t="inlineStr">
        <is>
          <t>추정(계산식 병기)</t>
        </is>
      </c>
    </row>
    <row r="42" ht="46" customHeight="1" s="42">
      <c r="A42" s="95" t="inlineStr">
        <is>
          <t>고객 보상 (사업자 → 가정)</t>
        </is>
      </c>
      <c r="B42" s="100" t="inlineStr">
        <is>
          <t>사업자 계약에 따라 현금·포인트·마일리지·기부 등. 공통 단가 없음. 과거 홍보자료는 "kWh당 1,300원(2022)", "1,600원(2022 기준)" 등으로 안내. 삼성 SmartThings·LG ThinQ 연동으로 자동 참여하는 사업자(파란에너지 등) 있음</t>
        </is>
      </c>
      <c r="C42" s="96" t="inlineStr">
        <is>
          <t>S36·S37</t>
        </is>
      </c>
      <c r="D42" s="96" t="inlineStr">
        <is>
          <t>확인필요(사업자별)</t>
        </is>
      </c>
    </row>
    <row r="43" ht="34" customHeight="1" s="42">
      <c r="A43" s="95" t="inlineStr">
        <is>
          <t>2025 실적·규모</t>
        </is>
      </c>
      <c r="B43" s="96" t="inlineStr">
        <is>
          <t>45시간 발령, 798,187kWh, 정산금 12.97억원. 참여고객 2025.12 85,011 → 2026.2 89,973 (12개 사업자, 214자원). 2020~2025 누적 304회·978MWh·16.1억원</t>
        </is>
      </c>
      <c r="C43" s="96" t="inlineStr">
        <is>
          <t>S33 p.6·p.19</t>
        </is>
      </c>
      <c r="D43" s="96" t="inlineStr">
        <is>
          <t>확정</t>
        </is>
      </c>
    </row>
    <row r="44" ht="60" customHeight="1" s="42">
      <c r="A44" s="95" t="inlineStr">
        <is>
          <t>HEMS 설계 포인트</t>
        </is>
      </c>
      <c r="B44" s="99" t="inlineStr">
        <is>
          <t>① 발령은 1시간·30분 전이므로 히트펌프 예열/온수 선가동 → 발령 시 OFF, EV 충전 일시정지, ESS 방전이 감축량이 됨 ② CBL이 "최근 영업일 평균"이라 평소 사용량이 낮은 집은 감축량이 작게 나옴 ③ 06~21시 영업일만 → 주말·야간 자동화는 국민DR과 무관 ④ 캐시백(월 절감)과 국민DR(시간 절감)은 별개로 둘 다 가능</t>
        </is>
      </c>
      <c r="C44" s="96" t="inlineStr">
        <is>
          <t>설계 판단</t>
        </is>
      </c>
      <c r="D44" s="96" t="inlineStr">
        <is>
          <t>추정</t>
        </is>
      </c>
    </row>
    <row r="46" ht="20" customHeight="1" s="42">
      <c r="A46" s="92" t="inlineStr">
        <is>
          <t>D. 플러스DR — 가정 HEMS가 붙는 증대 신호 (육지 2024.3 신설, 제주 2021.1)</t>
        </is>
      </c>
      <c r="B46" s="70" t="n"/>
      <c r="C46" s="70" t="n"/>
      <c r="D46" s="70" t="n"/>
      <c r="E46" s="70" t="n"/>
      <c r="F46" s="70" t="n"/>
      <c r="G46" s="70" t="n"/>
      <c r="H46" s="70" t="n"/>
      <c r="I46" s="70" t="n"/>
      <c r="J46" s="71" t="n"/>
    </row>
    <row r="47" ht="32" customHeight="1" s="42">
      <c r="A47" s="94" t="inlineStr">
        <is>
          <t>항목</t>
        </is>
      </c>
      <c r="B47" s="94" t="inlineStr">
        <is>
          <t>내용</t>
        </is>
      </c>
      <c r="C47" s="94" t="inlineStr">
        <is>
          <t>근거</t>
        </is>
      </c>
      <c r="D47" s="94" t="inlineStr">
        <is>
          <t>상태</t>
        </is>
      </c>
      <c r="E47" s="94" t="inlineStr"/>
      <c r="F47" s="94" t="inlineStr"/>
      <c r="G47" s="94" t="inlineStr"/>
      <c r="H47" s="94" t="inlineStr"/>
      <c r="I47" s="94" t="inlineStr"/>
      <c r="J47" s="94" t="inlineStr"/>
    </row>
    <row r="48" ht="40" customHeight="1" s="42">
      <c r="A48" s="95" t="inlineStr">
        <is>
          <t>목적</t>
        </is>
      </c>
      <c r="B48" s="96" t="inlineStr">
        <is>
          <t>태양광 잉여로 출력제어가 예상될 때 수요를 늘려 잉여를 흡수. 감축이 아니라 "더 쓰면 보상". 육지·제주 구분 등록, 육지는 별지 101-5호 서식의 세부 지역별 등록</t>
        </is>
      </c>
      <c r="C48" s="96" t="inlineStr">
        <is>
          <t>S35 제12.1.1조 6호, 제12.2.2조 ③2라</t>
        </is>
      </c>
      <c r="D48" s="96" t="inlineStr">
        <is>
          <t>확정</t>
        </is>
      </c>
    </row>
    <row r="49" ht="40" customHeight="1" s="42">
      <c r="A49" s="95" t="inlineStr">
        <is>
          <t>참여 고객</t>
        </is>
      </c>
      <c r="B49" s="96" t="inlineStr">
        <is>
          <t>규모 제한 없음(자원당 고객 1개 이상). 다른 DR 자원과 중복 등록 가능 → 국민DR 가입 가정도 플러스DR 동시 참여 가능. 피크저감 ESS로 참여 시 ESS 사용량만 계량</t>
        </is>
      </c>
      <c r="C49" s="96" t="inlineStr">
        <is>
          <t>S35 제12.2.2조 ③4, 제12.2.3조 ③2·4</t>
        </is>
      </c>
      <c r="D49" s="96" t="inlineStr">
        <is>
          <t>확정</t>
        </is>
      </c>
    </row>
    <row r="50" ht="64" customHeight="1" s="42">
      <c r="A50" s="95" t="inlineStr">
        <is>
          <t>거래 방식</t>
        </is>
      </c>
      <c r="B50" s="96" t="inlineStr">
        <is>
          <t>사업자가 매일 09~18시 구간에 거래시간별 증대가능용량(0.01MWh 이상) 입찰, 거래일 직전 영업일 14시 마감(제주는 전일). 제주: 익일 하루전에너지가격 ≤ 0원이고 예측 출력제어량이 기준출력제어량 이상일 때 낙찰. 육지: KPX가 매월 공지하는 기준 태양광이용률·수요구간별 증대필요량에 따라 배분(0.1MW씩 우선 배분 후 비례)</t>
        </is>
      </c>
      <c r="C50" s="96" t="inlineStr">
        <is>
          <t>S35 제12.7.3.1~3.8조</t>
        </is>
      </c>
      <c r="D50" s="96" t="inlineStr">
        <is>
          <t>확정</t>
        </is>
      </c>
    </row>
    <row r="51" ht="30" customHeight="1" s="42">
      <c r="A51" s="95" t="inlineStr">
        <is>
          <t>증대량 평가</t>
        </is>
      </c>
      <c r="B51" s="96" t="inlineStr">
        <is>
          <t>실제 사용량 − CBL. CBL은 Mid(4/6)(영업일) / H-Mid(4/6)(휴일) 등 KPX 지정 방식</t>
        </is>
      </c>
      <c r="C51" s="96" t="inlineStr">
        <is>
          <t>S35 제12.5.2.1조 ①3, 별표28 1.3·1.6</t>
        </is>
      </c>
      <c r="D51" s="96" t="inlineStr">
        <is>
          <t>확정</t>
        </is>
      </c>
    </row>
    <row r="52" ht="28" customHeight="1" s="42">
      <c r="A52" s="95" t="inlineStr">
        <is>
          <t>정산 단가 (2025)</t>
        </is>
      </c>
      <c r="B52" s="96" t="inlineStr">
        <is>
          <t>육지 50원/kWh (1~12월 동일), 제주 95~97원/kWh. 증대량 × 단가</t>
        </is>
      </c>
      <c r="C52" s="96" t="inlineStr">
        <is>
          <t>S33 p.11</t>
        </is>
      </c>
      <c r="D52" s="96" t="inlineStr">
        <is>
          <t>확정</t>
        </is>
      </c>
    </row>
    <row r="53" ht="40" customHeight="1" s="42">
      <c r="A53" s="95" t="inlineStr">
        <is>
          <t>2025 실적</t>
        </is>
      </c>
      <c r="B53" s="96" t="inlineStr">
        <is>
          <t>육지: 3~6월 16일 63시간 30,725MWh, 정산금 13.1억원 (2024: 10일 21시간 7,187MWh 3.2억). 2025.7 이후·12월 실적 없음. 참여고객 육지 43,061 / 제주 1,573 (2026.2), 육지 증대가능용량 2,110MW</t>
        </is>
      </c>
      <c r="C53" s="96" t="inlineStr">
        <is>
          <t>S33 p.6·p.20</t>
        </is>
      </c>
      <c r="D53" s="96" t="inlineStr">
        <is>
          <t>확정</t>
        </is>
      </c>
    </row>
    <row r="54" ht="52" customHeight="1" s="42">
      <c r="A54" s="95" t="inlineStr">
        <is>
          <t>소비자 체감 방식</t>
        </is>
      </c>
      <c r="B54" s="100" t="inlineStr">
        <is>
          <t>충전사업자·수요관리사업자가 앱으로 "플러스DR 시간" 공지 → 해당 시간 충전 시 할인·포인트. 사업자별 상이. ※ 한전의 봄·가을 주말 11~14시 전력량요금 50% 할인(세칙 제48조의7)은 요금제 할인이지 DR 정산이 아님 — 언론에서 둘을 섞어 "플러스DR 할인 40.1~48.6원"으로 쓰는 경우가 있어 주의</t>
        </is>
      </c>
      <c r="C54" s="96" t="inlineStr">
        <is>
          <t>S38 · A2 제48조의7</t>
        </is>
      </c>
      <c r="D54" s="96" t="inlineStr">
        <is>
          <t>확인필요(사업자별)</t>
        </is>
      </c>
    </row>
    <row r="55" ht="56" customHeight="1" s="42">
      <c r="A55" s="95" t="inlineStr">
        <is>
          <t>HEMS 설계 포인트</t>
        </is>
      </c>
      <c r="B55" s="99" t="inlineStr">
        <is>
          <t>① 신호는 하루 전 낙찰 → 전날 저녁에 다음 날 09~18시 중 증대 시간 확정 가능 ② EV 충전·ESS 충전·전기온수기·히트펌프 축열을 그 시간으로 이동 ③ 단가 50원/kWh는 작지만 한전 주말 낮 50% 할인·계시별 중간부하 단가와 겹치면 합산 효과 ④ CBL 대비 "평소보다 더 쓴 양"만 인정되므로 원래 낮에 쓰던 부하는 실적이 안 됨</t>
        </is>
      </c>
      <c r="C55" s="96" t="inlineStr">
        <is>
          <t>설계 판단</t>
        </is>
      </c>
      <c r="D55" s="96" t="inlineStr">
        <is>
          <t>추정</t>
        </is>
      </c>
    </row>
    <row r="57" ht="20" customHeight="1" s="42">
      <c r="A57" s="92" t="inlineStr">
        <is>
          <t>E. 사업장용 DR (표준·중소형·제주·휴일·주파수·EV충전자원) — 참고</t>
        </is>
      </c>
      <c r="B57" s="70" t="n"/>
      <c r="C57" s="70" t="n"/>
      <c r="D57" s="70" t="n"/>
      <c r="E57" s="70" t="n"/>
      <c r="F57" s="70" t="n"/>
      <c r="G57" s="70" t="n"/>
      <c r="H57" s="70" t="n"/>
      <c r="I57" s="70" t="n"/>
      <c r="J57" s="71" t="n"/>
    </row>
    <row r="58" ht="32" customHeight="1" s="42">
      <c r="A58" s="94" t="inlineStr">
        <is>
          <t>항목</t>
        </is>
      </c>
      <c r="B58" s="94" t="inlineStr">
        <is>
          <t>내용</t>
        </is>
      </c>
      <c r="C58" s="94" t="inlineStr">
        <is>
          <t>근거</t>
        </is>
      </c>
      <c r="D58" s="94" t="inlineStr">
        <is>
          <t>상태</t>
        </is>
      </c>
      <c r="E58" s="94" t="inlineStr"/>
      <c r="F58" s="94" t="inlineStr"/>
      <c r="G58" s="94" t="inlineStr"/>
      <c r="H58" s="94" t="inlineStr"/>
      <c r="I58" s="94" t="inlineStr"/>
      <c r="J58" s="94" t="inlineStr"/>
    </row>
    <row r="59" ht="46" customHeight="1" s="42">
      <c r="A59" s="95" t="inlineStr">
        <is>
          <t>두 가지 거래</t>
        </is>
      </c>
      <c r="B59" s="96" t="inlineStr">
        <is>
          <t>① 신뢰성DR: KPX 의무감축요청(수급 위기·감축시험)에 응해야 하며 기본정산금(원/kW-월)을 받는 대신 위약금 있음 ② 자발적DR(경제성DR): 하루전시장에 감축가격 입찰, 낙찰 시 SMP로 정산. 2022.12부터 피크수요·미세먼지 거래 포함</t>
        </is>
      </c>
      <c r="C59" s="96" t="inlineStr">
        <is>
          <t>S35 제12.1.1조 11~13호, 별표26</t>
        </is>
      </c>
      <c r="D59" s="96" t="inlineStr">
        <is>
          <t>확정</t>
        </is>
      </c>
    </row>
    <row r="60" ht="40" customHeight="1" s="42">
      <c r="A60" s="95" t="inlineStr">
        <is>
          <t>2025.12 시장 지표</t>
        </is>
      </c>
      <c r="B60" s="96" t="inlineStr">
        <is>
          <t>육지 NBTP 113.04원/kWh, 육지 SMP 90.43원/kWh. 신뢰성DR 고정기본정산금 표준·중소형 2,862원/kW-월, 제주 3,526. 12월 정산금 합계 129억원(기본 120억 + 실적 8.5억)</t>
        </is>
      </c>
      <c r="C60" s="96" t="inlineStr">
        <is>
          <t>S33 p.7~14</t>
        </is>
      </c>
      <c r="D60" s="96" t="inlineStr">
        <is>
          <t>확정</t>
        </is>
      </c>
    </row>
    <row r="61" ht="34" customHeight="1" s="42">
      <c r="A61" s="95" t="inlineStr">
        <is>
          <t>휴일DR (2025.3 신설)</t>
        </is>
      </c>
      <c r="B61" s="96" t="inlineStr">
        <is>
          <t>봄(3~5월·설 연휴)·가을(9~11월) 휴일 10~17시에만 참여. 여름·겨울 미운영. 재생에너지 잉여 시간대 대응용. 고정기본정산금 598~972원/kW-월</t>
        </is>
      </c>
      <c r="C61" s="96" t="inlineStr">
        <is>
          <t>S35 제12.1.1조 7~9호, S33 p.8·10</t>
        </is>
      </c>
      <c r="D61" s="96" t="inlineStr">
        <is>
          <t>확정</t>
        </is>
      </c>
    </row>
    <row r="62" ht="46" customHeight="1" s="42">
      <c r="A62" s="95" t="inlineStr">
        <is>
          <t>EV충전자원 (2025.12.8 신설)</t>
        </is>
      </c>
      <c r="B62" s="96" t="inlineStr">
        <is>
          <t>중소형DR·제주DR 안에서 충전사업자용 EV 요금을 쓰는 충전기·충전소를 묶은 자원. 1MW 초과~50MW. 등록 시 이용자 참여 동의 제출 필요. CBL·감축량을 자원 단위로 합산. 아파트 공용 충전기가 충전사업자 요금이면 이 경로</t>
        </is>
      </c>
      <c r="C62" s="96" t="inlineStr">
        <is>
          <t>S35 제12.1.1조 31호, 제12.2.2조 ③3, 제12.2.3조 ③12</t>
        </is>
      </c>
      <c r="D62" s="96" t="inlineStr">
        <is>
          <t>확정</t>
        </is>
      </c>
    </row>
    <row r="63" ht="52" customHeight="1" s="42">
      <c r="A63" s="95" t="inlineStr">
        <is>
          <t>한전 긴급절전 수요조정</t>
        </is>
      </c>
      <c r="B63" s="96" t="inlineStr">
        <is>
          <t>고압 일반·교육·산업용, 500kW 이상 감축(제주 100kW). A형(전용선로, 3,000kW 또는 CBL 20%)/B형. 1년 약정, 1시간 전 예고, 1일 1~4시간. 기본지원 500원/kW·년(12월), 실적지원 별표4(이행률별, 130% 한도), 이행률 50% 미만 위약금. 시장 DR과 중복 참여 가능</t>
        </is>
      </c>
      <c r="C63" s="96" t="inlineStr">
        <is>
          <t>S34 제26~36조</t>
        </is>
      </c>
      <c r="D63" s="96" t="inlineStr">
        <is>
          <t>확정</t>
        </is>
      </c>
    </row>
    <row r="65" ht="20" customHeight="1" s="42">
      <c r="A65" s="92" t="inlineStr">
        <is>
          <t>F. 육지 vs 제주 — DR에서 다른 것</t>
        </is>
      </c>
      <c r="B65" s="70" t="n"/>
      <c r="C65" s="70" t="n"/>
      <c r="D65" s="70" t="n"/>
      <c r="E65" s="70" t="n"/>
      <c r="F65" s="70" t="n"/>
      <c r="G65" s="70" t="n"/>
      <c r="H65" s="70" t="n"/>
      <c r="I65" s="70" t="n"/>
      <c r="J65" s="71" t="n"/>
    </row>
    <row r="66" ht="32" customHeight="1" s="42">
      <c r="A66" s="94" t="inlineStr">
        <is>
          <t>항목</t>
        </is>
      </c>
      <c r="B66" s="94" t="inlineStr">
        <is>
          <t>육지</t>
        </is>
      </c>
      <c r="C66" s="94" t="inlineStr">
        <is>
          <t>제주</t>
        </is>
      </c>
      <c r="D66" s="94" t="inlineStr">
        <is>
          <t>근거</t>
        </is>
      </c>
      <c r="E66" s="94" t="inlineStr"/>
      <c r="F66" s="94" t="inlineStr"/>
      <c r="G66" s="94" t="inlineStr"/>
      <c r="H66" s="94" t="inlineStr"/>
      <c r="I66" s="94" t="inlineStr"/>
      <c r="J66" s="94" t="inlineStr"/>
    </row>
    <row r="67" ht="30" customHeight="1" s="42">
      <c r="A67" s="95" t="inlineStr">
        <is>
          <t>국민DR</t>
        </is>
      </c>
      <c r="B67" s="96" t="inlineStr">
        <is>
          <t>수도권/비수도권 자원. RBP 67,277원/kW(2025)</t>
        </is>
      </c>
      <c r="C67" s="96" t="inlineStr">
        <is>
          <t>제주권 자원. RBP 76,562원/kW(2025) — 육지보다 14% 높음</t>
        </is>
      </c>
      <c r="D67" s="96" t="inlineStr">
        <is>
          <t>S33 p.11</t>
        </is>
      </c>
    </row>
    <row r="68" ht="40" customHeight="1" s="42">
      <c r="A68" s="95" t="inlineStr">
        <is>
          <t>플러스DR</t>
        </is>
      </c>
      <c r="B68" s="96" t="inlineStr">
        <is>
          <t>2024.3.28 신설. 증대필요량 = 태양광이용률·수요구간 기준(KPX 매월 공지). 50원/kWh. 43,061고객</t>
        </is>
      </c>
      <c r="C68" s="96" t="inlineStr">
        <is>
          <t>2021.1 신설, 2022.5 시장 분리. 출력제어량 기준 낙찰, 실시간(당일) 시장 병행. 95~97원/kWh. 1,573고객</t>
        </is>
      </c>
      <c r="D68" s="96" t="inlineStr">
        <is>
          <t>S35 제12.7.3.6~3.8조, S33</t>
        </is>
      </c>
    </row>
    <row r="69" ht="30" customHeight="1" s="42">
      <c r="A69" s="95" t="inlineStr">
        <is>
          <t>사업장 DR</t>
        </is>
      </c>
      <c r="B69" s="96" t="inlineStr">
        <is>
          <t>표준·중소형DR(수도권/비수도권), 주파수DR(육지만)</t>
        </is>
      </c>
      <c r="C69" s="96" t="inlineStr">
        <is>
          <t>제주DR(2MW 초과~500MW), 휴일 제주DR. 긴급절전 기준 100kW</t>
        </is>
      </c>
      <c r="D69" s="96" t="inlineStr">
        <is>
          <t>S35 제12.2.2조 ③2</t>
        </is>
      </c>
    </row>
    <row r="70" ht="40" customHeight="1" s="42">
      <c r="A70" s="95" t="inlineStr">
        <is>
          <t>HEMS 결론</t>
        </is>
      </c>
      <c r="B70" s="99" t="inlineStr">
        <is>
          <t>국민DR + 플러스DR 둘 다 가능. 플러스DR 단가가 낮아 EV·ESS가 있어야 의미</t>
        </is>
      </c>
      <c r="C70" s="99" t="inlineStr">
        <is>
          <t>국민DR + 플러스DR 단가 모두 육지보다 높고 출력제어가 잦아 플러스DR 가치가 큼. 주택 계시별 선택요금과 결합 시 효과 최대</t>
        </is>
      </c>
      <c r="D70" s="96" t="inlineStr">
        <is>
          <t>설계 판단</t>
        </is>
      </c>
    </row>
    <row r="72" ht="20" customHeight="1" s="42">
      <c r="A72" s="92" t="inlineStr">
        <is>
          <t>G. HEMS 설계 — 필요한 입력값과 수익 규모 감각</t>
        </is>
      </c>
      <c r="B72" s="70" t="n"/>
      <c r="C72" s="70" t="n"/>
      <c r="D72" s="70" t="n"/>
      <c r="E72" s="70" t="n"/>
      <c r="F72" s="70" t="n"/>
      <c r="G72" s="70" t="n"/>
      <c r="H72" s="70" t="n"/>
      <c r="I72" s="70" t="n"/>
      <c r="J72" s="71" t="n"/>
    </row>
    <row r="73" ht="32" customHeight="1" s="42">
      <c r="A73" s="94" t="inlineStr">
        <is>
          <t>항목</t>
        </is>
      </c>
      <c r="B73" s="94" t="inlineStr">
        <is>
          <t>내용</t>
        </is>
      </c>
      <c r="C73" s="94" t="inlineStr">
        <is>
          <t>근거</t>
        </is>
      </c>
      <c r="D73" s="94" t="inlineStr">
        <is>
          <t>상태</t>
        </is>
      </c>
      <c r="E73" s="94" t="inlineStr"/>
      <c r="F73" s="94" t="inlineStr"/>
      <c r="G73" s="94" t="inlineStr"/>
      <c r="H73" s="94" t="inlineStr"/>
      <c r="I73" s="94" t="inlineStr"/>
      <c r="J73" s="94" t="inlineStr"/>
    </row>
    <row r="74" ht="46" customHeight="1" s="42">
      <c r="A74" s="95" t="inlineStr">
        <is>
          <t>필수 입력</t>
        </is>
      </c>
      <c r="B74" s="96" t="inlineStr">
        <is>
          <t>수요관리사업자 계약 여부·배분율 / 자원 지역(수도권·비수도권·제주권) / CBL 방식(월별 KPX 지정) / 발령 수신 채널(앱·OpenADR) / 1시간(국민DR)·거래시간(플러스DR) 단위 계량 / 참여 가전 목록과 제어 가능 여부 / 다른 DR 중복 여부</t>
        </is>
      </c>
      <c r="C74" s="96" t="inlineStr">
        <is>
          <t>S35 제12.2~12.5절</t>
        </is>
      </c>
      <c r="D74" s="96" t="inlineStr">
        <is>
          <t>확정</t>
        </is>
      </c>
    </row>
    <row r="75" ht="46" customHeight="1" s="42">
      <c r="A75" s="95" t="inlineStr">
        <is>
          <t>국민DR 수익 감각</t>
        </is>
      </c>
      <c r="B75" s="99" t="inlineStr">
        <is>
          <t>가정이 1시간에 1kWh 줄이면 KPX 정산 ≈ 1,600원(2025 평균). 연 45시간 전부 참여·매회 1kWh 감축 시 KPX 정산 ≈ 7만원, 사업자 배분 후 가정 수령은 그 일부. 감축량을 키우려면 히트펌프·EV·온수기 같은 큰 부하가 있어야 함</t>
        </is>
      </c>
      <c r="C75" s="96" t="inlineStr">
        <is>
          <t>S33 역산</t>
        </is>
      </c>
      <c r="D75" s="96" t="inlineStr">
        <is>
          <t>추정(계산식 병기)</t>
        </is>
      </c>
    </row>
    <row r="76" ht="46" customHeight="1" s="42">
      <c r="A76" s="95" t="inlineStr">
        <is>
          <t>플러스DR 수익 감각</t>
        </is>
      </c>
      <c r="B76" s="99" t="inlineStr">
        <is>
          <t>EV 30kWh 충전을 잉여 시간으로 옮기면 육지 50원 × 30 = 1,500원/회, 제주 96원 × 30 = 2,880원/회 (KPX 정산 기준). 2025 육지 발령 63시간이므로 연 수만 원 규모. 요금 측면 이득(경부하·주말 할인)이 DR 정산보다 큼</t>
        </is>
      </c>
      <c r="C76" s="96" t="inlineStr">
        <is>
          <t>S33 p.11·20</t>
        </is>
      </c>
      <c r="D76" s="96" t="inlineStr">
        <is>
          <t>추정(계산식 병기)</t>
        </is>
      </c>
    </row>
    <row r="77" ht="46" customHeight="1" s="42">
      <c r="A77" s="95" t="inlineStr">
        <is>
          <t>혼동 주의</t>
        </is>
      </c>
      <c r="B77" s="96" t="inlineStr">
        <is>
          <t>① 한전 에너지캐시백 ≠ DR (월 사용량 절감 보상, 한전 지급) ② 한전 봄·가을 주말 50% 할인 ≠ 플러스DR (요금제 할인) ③ 국민DR 정산 단가(원/kWh)는 사업자 몫 포함 ④ 계시별 요금제 가입 여부와 DR 참여는 무관 — 누진 가정도 국민DR 가능</t>
        </is>
      </c>
      <c r="C77" s="96" t="inlineStr">
        <is>
          <t>위 각 절</t>
        </is>
      </c>
      <c r="D77" s="96" t="inlineStr">
        <is>
          <t>확정</t>
        </is>
      </c>
    </row>
    <row r="78" ht="40" customHeight="1" s="42">
      <c r="A78" s="95" t="inlineStr">
        <is>
          <t>미확인·갱신 필요</t>
        </is>
      </c>
      <c r="B78" s="100" t="inlineStr">
        <is>
          <t>2026년 RBP·MRT·플러스DR 단가(KPX 월간 현황 보고서), 사업자별 고객 배분율·보상 방식, 국민DR 일일 발령 한도·기온 기준 조항 개정 여부, 제주 플러스DR 2024~2025 실적(보고서 표 미수록)</t>
        </is>
      </c>
      <c r="C78" s="96" t="inlineStr">
        <is>
          <t>S33·S35</t>
        </is>
      </c>
      <c r="D78" s="96" t="inlineStr">
        <is>
          <t>확인필요</t>
        </is>
      </c>
    </row>
  </sheetData>
  <mergeCells count="10">
    <mergeCell ref="A46:J46"/>
    <mergeCell ref="A30:J30"/>
    <mergeCell ref="A12:J12"/>
    <mergeCell ref="A4:J4"/>
    <mergeCell ref="A65:J65"/>
    <mergeCell ref="A57:J57"/>
    <mergeCell ref="A2:J2"/>
    <mergeCell ref="A72:J72"/>
    <mergeCell ref="A10:J10"/>
    <mergeCell ref="A28:J28"/>
  </mergeCells>
  <pageMargins left="0.75" right="0.75" top="1" bottom="1" header="0.5" footer="0.5"/>
</worksheet>
</file>

<file path=xl/worksheets/sheet13.xml><?xml version="1.0" encoding="utf-8"?>
<worksheet xmlns="http://schemas.openxmlformats.org/spreadsheetml/2006/main">
  <sheetPr filterMode="0">
    <outlinePr summaryBelow="1" summaryRight="1"/>
    <pageSetUpPr fitToPage="1"/>
  </sheetPr>
  <dimension ref="A1:F20"/>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22" customWidth="1" style="41" min="1" max="2"/>
    <col width="40" customWidth="1" style="41" min="3" max="3"/>
    <col width="34" customWidth="1" style="41" min="4" max="5"/>
    <col width="10" customWidth="1" style="41" min="6" max="6"/>
  </cols>
  <sheetData>
    <row r="1" ht="21.6" customHeight="1" s="42">
      <c r="A1" s="79" t="inlineStr">
        <is>
          <t>ESS 요금 특례 · DR · 에너지캐시백</t>
        </is>
      </c>
    </row>
    <row r="2" ht="15" customHeight="1" s="42">
      <c r="A2" s="72" t="inlineStr">
        <is>
          <t>HEMS 수익·절감 레버 관점 정리</t>
        </is>
      </c>
    </row>
    <row r="4" ht="17.15" customHeight="1" s="42">
      <c r="A4" s="61" t="inlineStr">
        <is>
          <t>A. ESS 요금 할인 특례 연혁</t>
        </is>
      </c>
    </row>
    <row r="5" ht="30" customHeight="1" s="42">
      <c r="A5" s="47" t="inlineStr">
        <is>
          <t>기간</t>
        </is>
      </c>
      <c r="B5" s="47" t="inlineStr">
        <is>
          <t>충전 전력량요금</t>
        </is>
      </c>
      <c r="C5" s="47" t="inlineStr">
        <is>
          <t>기본요금</t>
        </is>
      </c>
      <c r="D5" s="47" t="inlineStr">
        <is>
          <t>대상</t>
        </is>
      </c>
      <c r="E5" s="47" t="inlineStr">
        <is>
          <t>현재 상태</t>
        </is>
      </c>
      <c r="F5" s="47" t="inlineStr">
        <is>
          <t>근거</t>
        </is>
      </c>
    </row>
    <row r="6" ht="45.75" customHeight="1" s="42">
      <c r="A6" s="84" t="inlineStr">
        <is>
          <t>~2020.12</t>
        </is>
      </c>
      <c r="B6" s="83" t="inlineStr">
        <is>
          <t>경부하 충전 50% 할인</t>
        </is>
      </c>
      <c r="C6" s="83" t="inlineStr">
        <is>
          <t>피크감축량의 3배 할인</t>
        </is>
      </c>
      <c r="D6" s="83" t="inlineStr">
        <is>
          <t>계시별 적용 일반용·산업용·교육용 (피크저감용 ESS)</t>
        </is>
      </c>
      <c r="E6" s="83" t="inlineStr">
        <is>
          <t>종료 (단, ESS 가동중단 손실보전위원회 의결 대상 고객은 존속기간 ~2026.3 내에서 구 할인 유지 — 세칙 부칙 2020.12.17 제5호)</t>
        </is>
      </c>
      <c r="F6" s="82" t="inlineStr">
        <is>
          <t>A2 부칙·S19</t>
        </is>
      </c>
    </row>
    <row r="7" ht="45.75" customHeight="1" s="42">
      <c r="A7" s="84" t="inlineStr">
        <is>
          <t>2021.1~2026.3.31</t>
        </is>
      </c>
      <c r="B7" s="83" t="inlineStr">
        <is>
          <t>할인 폐지</t>
        </is>
      </c>
      <c r="C7" s="83" t="inlineStr">
        <is>
          <t>피크감축량 1배 할인 + 계절별 지정 3시간 방전 시 인정배수 1.1~1.34배</t>
        </is>
      </c>
      <c r="D7" s="83" t="inlineStr">
        <is>
          <t>동일 (충전율 옥내 80%·옥외 90% 준수 조건)</t>
        </is>
      </c>
      <c r="E7" s="84" t="inlineStr">
        <is>
          <t>종료 확정 — 2026.8.1판 세칙 별표4 제9호 '기본요금 할인은 2016.4.1부터 2026.3.31까지 적용', 연장 규정 없음</t>
        </is>
      </c>
      <c r="F7" s="82" t="inlineStr">
        <is>
          <t>A2 별표4 제9호·S18·S19</t>
        </is>
      </c>
    </row>
    <row r="8" ht="45.75" customHeight="1" s="42">
      <c r="A8" s="83" t="inlineStr">
        <is>
          <t>주택용</t>
        </is>
      </c>
      <c r="B8" s="84" t="inlineStr">
        <is>
          <t>-</t>
        </is>
      </c>
      <c r="C8" s="84" t="inlineStr">
        <is>
          <t>-</t>
        </is>
      </c>
      <c r="D8" s="83" t="inlineStr">
        <is>
          <t>주택용 ESS 전용 요금 특례 없음</t>
        </is>
      </c>
      <c r="E8" s="83" t="inlineStr">
        <is>
          <t>해당 없음</t>
        </is>
      </c>
      <c r="F8" s="82" t="inlineStr">
        <is>
          <t>S26</t>
        </is>
      </c>
    </row>
    <row r="9" ht="43.5" customHeight="1" s="42">
      <c r="A9" s="46" t="inlineStr">
        <is>
          <t>시사점: 주택 HEMS에서 ESS의 경제성은 요금특례가 아니라 (1) 태양광 잉여 저장·자가소비로 순 수전량을 줄여 누진 3단계 진입을 피하는 것(계통 충전→방전만으로는 월 누적 kWh가 줄지 않고 손실만 증가), (2) 제주·히트펌프 가구의 계시별 차익, (3) 에너지캐시백·DR 보상에서 나온다. 산업·상업 ESS 특례는 2026.3.31로 종료되었으므로 할인 수익을 사업성에 넣지 말 것.</t>
        </is>
      </c>
    </row>
    <row r="11" ht="17.15" customHeight="1" s="42">
      <c r="A11" s="61" t="inlineStr">
        <is>
          <t>B. 2026 에너지캐시백 (주택용, 2026.7~12)</t>
        </is>
      </c>
    </row>
    <row r="12" ht="30" customHeight="1" s="42">
      <c r="A12" s="47" t="inlineStr">
        <is>
          <t>프로그램</t>
        </is>
      </c>
      <c r="B12" s="47" t="inlineStr">
        <is>
          <t>기간·시간</t>
        </is>
      </c>
      <c r="C12" s="47" t="inlineStr">
        <is>
          <t>조건</t>
        </is>
      </c>
      <c r="D12" s="47" t="inlineStr">
        <is>
          <t>보상 단가</t>
        </is>
      </c>
      <c r="E12" s="48" t="inlineStr">
        <is>
          <t>HEMS 연계</t>
        </is>
      </c>
      <c r="F12" s="47" t="inlineStr">
        <is>
          <t>근거</t>
        </is>
      </c>
    </row>
    <row r="13" ht="39.75" customHeight="1" s="42">
      <c r="A13" s="83" t="inlineStr">
        <is>
          <t>기본 에너지캐시백</t>
        </is>
      </c>
      <c r="B13" s="84" t="inlineStr">
        <is>
          <t>2026.7~12 (월 단위)</t>
        </is>
      </c>
      <c r="C13" s="83" t="inlineStr">
        <is>
          <t>전년 대비 1% 이상 절감(기존 3%에서 완화)</t>
        </is>
      </c>
      <c r="D13" s="50" t="inlineStr">
        <is>
          <t>최대 120원/kWh</t>
        </is>
      </c>
      <c r="E13" s="83" t="inlineStr">
        <is>
          <t>월간 사용량 관리</t>
        </is>
      </c>
      <c r="F13" s="82" t="inlineStr">
        <is>
          <t>S20</t>
        </is>
      </c>
    </row>
    <row r="14" ht="39.75" customHeight="1" s="42">
      <c r="A14" s="83" t="inlineStr">
        <is>
          <t>여름 저녁 피크 절감</t>
        </is>
      </c>
      <c r="B14" s="84" t="inlineStr">
        <is>
          <t>7~8월 평일 17~20시 (2026.7.1~8.31 한시, 종료)</t>
        </is>
      </c>
      <c r="C14" s="83" t="inlineStr">
        <is>
          <t>직전 2년 동시간대 평균 대비 절감, 시간별 원격검침 필요</t>
        </is>
      </c>
      <c r="D14" s="50" t="inlineStr">
        <is>
          <t>500원/kWh, 월 지급한도 10,000원</t>
        </is>
      </c>
      <c r="E14" s="83" t="inlineStr">
        <is>
          <t>저녁 부하 이동·ESS 방전</t>
        </is>
      </c>
      <c r="F14" s="82" t="inlineStr">
        <is>
          <t>A2 제48조의6·S20</t>
        </is>
      </c>
    </row>
    <row r="15" ht="39.75" customHeight="1" s="42">
      <c r="A15" s="83" t="inlineStr">
        <is>
          <t>스마트가전 캐시백(시범)</t>
        </is>
      </c>
      <c r="B15" s="84" t="inlineStr">
        <is>
          <t>9~10월 주말·공휴일 11~14시</t>
        </is>
      </c>
      <c r="C15" s="84" t="inlineStr">
        <is>
          <t>SmartThings·LG ThinQ 등록 세탁기·건조기·식기세척기·스타일러</t>
        </is>
      </c>
      <c r="D15" s="82" t="inlineStr">
        <is>
          <t>100원/kWh</t>
        </is>
      </c>
      <c r="E15" s="84" t="inlineStr">
        <is>
          <t>ThinQ 연동 가전 낮 시간 가동 유도</t>
        </is>
      </c>
      <c r="F15" s="82" t="inlineStr">
        <is>
          <t>S20</t>
        </is>
      </c>
    </row>
    <row r="17" ht="17.15" customHeight="1" s="42">
      <c r="A17" s="61" t="inlineStr">
        <is>
          <t>C. 지역 특화 제도 — DR 상세는 DR_수요반응 시트 참조</t>
        </is>
      </c>
    </row>
    <row r="18" ht="30" customHeight="1" s="42">
      <c r="A18" s="47" t="inlineStr">
        <is>
          <t>제도</t>
        </is>
      </c>
      <c r="B18" s="47" t="inlineStr">
        <is>
          <t>지역</t>
        </is>
      </c>
      <c r="C18" s="47" t="inlineStr">
        <is>
          <t>내용</t>
        </is>
      </c>
      <c r="D18" s="47" t="inlineStr">
        <is>
          <t>상태</t>
        </is>
      </c>
      <c r="E18" s="47" t="n"/>
      <c r="F18" s="47" t="inlineStr">
        <is>
          <t>근거</t>
        </is>
      </c>
    </row>
    <row r="19" ht="39.75" customHeight="1" s="42">
      <c r="A19" s="83" t="inlineStr">
        <is>
          <t>플러스DR</t>
        </is>
      </c>
      <c r="B19" s="83" t="inlineStr">
        <is>
          <t>육지·제주 (2021.1 제주 신설 → 2024.3 육지 신설)</t>
        </is>
      </c>
      <c r="C19" s="83" t="inlineStr">
        <is>
          <t>재생에너지 출력제어가 예상될 때 전력 소비를 늘리면 보상. 제주는 2022.5부터 수요자원시장 분리 운영, 2023 전기차 충전 할인 등으로 확대. 육지권도 2024.3부터 플러스DR 자원 등록 가능</t>
        </is>
      </c>
      <c r="D19" s="83" t="inlineStr">
        <is>
          <t>시장 운영 중(전력거래소 2026 사업실명제, 전력시장운영규칙 2026.7.24판). 가구 실수령 단가는 집합사업자 계약·이행량·시장정산에 따르므로 공통값 없음</t>
        </is>
      </c>
      <c r="E19" s="50" t="n"/>
      <c r="F19" s="82" t="inlineStr">
        <is>
          <t>S25·S32</t>
        </is>
      </c>
    </row>
    <row r="20" ht="39.75" customHeight="1" s="42">
      <c r="A20" s="83" t="inlineStr">
        <is>
          <t>산업용 지역별 차등요금</t>
        </is>
      </c>
      <c r="B20" s="83" t="inlineStr">
        <is>
          <t>육지 11개 지역 (제주 제외)</t>
        </is>
      </c>
      <c r="C20" s="83" t="inlineStr">
        <is>
          <t>수도권 남부 ±1원, 수도권 북부 최대 10원, 중부권 최대 15원, 남부권 최대 18원/kWh 인하</t>
        </is>
      </c>
      <c r="D20" s="84" t="inlineStr">
        <is>
          <t>2026년 내 도입 예정(주택용 제외)</t>
        </is>
      </c>
      <c r="E20" s="50" t="n"/>
      <c r="F20" s="82" t="inlineStr">
        <is>
          <t>S16</t>
        </is>
      </c>
    </row>
  </sheetData>
  <mergeCells count="1">
    <mergeCell ref="A9:F9"/>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1"/>
  </sheetPr>
  <dimension ref="A1:F44"/>
  <sheetViews>
    <sheetView showFormulas="0" showGridLines="1" showRowColHeaders="1" showZeros="1" rightToLeft="0" tabSelected="0" showOutlineSymbols="1" defaultGridColor="1"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41" min="1" max="1"/>
    <col width="60" customWidth="1" style="41" min="2" max="2"/>
    <col width="30" customWidth="1" style="41" min="3" max="3"/>
    <col width="12" customWidth="1" style="41" min="4" max="4"/>
    <col width="6" customWidth="1" style="41" min="5" max="5"/>
    <col width="70" customWidth="1" style="41" min="6" max="6"/>
  </cols>
  <sheetData>
    <row r="1" ht="17.35" customHeight="1" s="42">
      <c r="A1" s="43" t="inlineStr">
        <is>
          <t>근거 자료 목록</t>
        </is>
      </c>
    </row>
    <row r="2" ht="15" customHeight="1" s="42">
      <c r="A2" s="44" t="inlineStr">
        <is>
          <t>등급 A=정부·한전 1차자료 / B=주요 언론·공공기관 게재 / C=블로그·위키 등 2차 정리 (C등급 단독 근거 항목은 '확인필요')</t>
        </is>
      </c>
    </row>
    <row r="4" ht="30" customHeight="1" s="42">
      <c r="A4" s="48" t="inlineStr">
        <is>
          <t>ID</t>
        </is>
      </c>
      <c r="B4" s="47" t="inlineStr">
        <is>
          <t>자료명</t>
        </is>
      </c>
      <c r="C4" s="47" t="inlineStr">
        <is>
          <t>발행·게재</t>
        </is>
      </c>
      <c r="D4" s="47" t="inlineStr">
        <is>
          <t>일자</t>
        </is>
      </c>
      <c r="E4" s="47" t="inlineStr">
        <is>
          <t>등급</t>
        </is>
      </c>
      <c r="F4" s="48" t="inlineStr">
        <is>
          <t>URL</t>
        </is>
      </c>
    </row>
    <row r="5" ht="30" customHeight="1" s="42">
      <c r="A5" s="82" t="inlineStr">
        <is>
          <t>A1</t>
        </is>
      </c>
      <c r="B5" s="83" t="inlineStr">
        <is>
          <t>한전 기본공급약관 및 시행세칙 (2026.8.1 발행) — 별표1 월간 전기요금표(2026.6.1 적용), 별표3 계절별·시간대별 구분표, 별표7 기후환경요금, 별표8 연료비조정요금, 제56~67조, 부칙</t>
        </is>
      </c>
      <c r="C5" s="83" t="inlineStr">
        <is>
          <t>한국전력공사</t>
        </is>
      </c>
      <c r="D5" s="82" t="inlineStr">
        <is>
          <t>2026-08-01</t>
        </is>
      </c>
      <c r="E5" s="82" t="inlineStr">
        <is>
          <t>A</t>
        </is>
      </c>
      <c r="F5" s="80" t="inlineStr">
        <is>
          <t>프로젝트 문서: 기본공급약관 및 시행세칙(260801).pdf</t>
        </is>
      </c>
    </row>
    <row r="6" ht="30" customHeight="1" s="42">
      <c r="A6" s="82" t="inlineStr">
        <is>
          <t>S01</t>
        </is>
      </c>
      <c r="B6" s="83" t="inlineStr">
        <is>
          <t>낮엔 낮추고 저녁은 높인다… 계절·시간대별 전기요금 개편안 시행 (보도자료)</t>
        </is>
      </c>
      <c r="C6" s="83" t="inlineStr">
        <is>
          <t>기후에너지환경부</t>
        </is>
      </c>
      <c r="D6" s="82" t="inlineStr">
        <is>
          <t>2026-04</t>
        </is>
      </c>
      <c r="E6" s="82" t="inlineStr">
        <is>
          <t>A</t>
        </is>
      </c>
      <c r="F6" s="85" t="inlineStr">
        <is>
          <t>https://mcee.go.kr/home/web/board/read.do?boardCategoryId=&amp;boardId=1857140&amp;boardMasterId=939&amp;menuId=10598</t>
        </is>
      </c>
    </row>
    <row r="7" ht="30" customHeight="1" s="42">
      <c r="A7" s="82" t="inlineStr">
        <is>
          <t>S02</t>
        </is>
      </c>
      <c r="B7" s="83" t="inlineStr">
        <is>
          <t>산업용 전기료, 낮 시간 최대 16.9원↓…봄·가을 주말 낮 50% 할인</t>
        </is>
      </c>
      <c r="C7" s="83" t="inlineStr">
        <is>
          <t>대한민국 정책브리핑</t>
        </is>
      </c>
      <c r="D7" s="82" t="inlineStr">
        <is>
          <t>2026-03-13</t>
        </is>
      </c>
      <c r="E7" s="82" t="inlineStr">
        <is>
          <t>A</t>
        </is>
      </c>
      <c r="F7" s="85" t="inlineStr">
        <is>
          <t>https://www.korea.kr/news/policyNewsView.do?newsId=148960823</t>
        </is>
      </c>
    </row>
    <row r="8" ht="30" customHeight="1" s="42">
      <c r="A8" s="82" t="inlineStr">
        <is>
          <t>S03</t>
        </is>
      </c>
      <c r="B8" s="83" t="inlineStr">
        <is>
          <t>봄·가을 주말과 공휴일 낮 전력량요금 50%↓…16일부터 적용</t>
        </is>
      </c>
      <c r="C8" s="83" t="inlineStr">
        <is>
          <t>대한민국 정책브리핑</t>
        </is>
      </c>
      <c r="D8" s="82" t="inlineStr">
        <is>
          <t>2026-04</t>
        </is>
      </c>
      <c r="E8" s="82" t="inlineStr">
        <is>
          <t>A</t>
        </is>
      </c>
      <c r="F8" s="85" t="inlineStr">
        <is>
          <t>https://www.korea.kr/news/policyNewsView.do?newsId=148962675</t>
        </is>
      </c>
    </row>
    <row r="9" ht="30" customHeight="1" s="42">
      <c r="A9" s="82" t="inlineStr">
        <is>
          <t>S04</t>
        </is>
      </c>
      <c r="B9" s="83" t="inlineStr">
        <is>
          <t>계절·시간대별 전기요금 개편안 시행 (부처 브리핑)</t>
        </is>
      </c>
      <c r="C9" s="83" t="inlineStr">
        <is>
          <t>대한민국 정책브리핑</t>
        </is>
      </c>
      <c r="D9" s="82" t="inlineStr">
        <is>
          <t>2026-04</t>
        </is>
      </c>
      <c r="E9" s="82" t="inlineStr">
        <is>
          <t>A</t>
        </is>
      </c>
      <c r="F9" s="85" t="inlineStr">
        <is>
          <t>https://www.korea.kr/briefing/policyBriefingView.do?newsId=156755866</t>
        </is>
      </c>
    </row>
    <row r="10" ht="30" customHeight="1" s="42">
      <c r="A10" s="82" t="inlineStr">
        <is>
          <t>S05</t>
        </is>
      </c>
      <c r="B10" s="83" t="inlineStr">
        <is>
          <t>전기요금표 (2025.04.01 시행) — 공공요금 거래가격 자료</t>
        </is>
      </c>
      <c r="C10" s="83" t="inlineStr">
        <is>
          <t>한국물가정보(data.cmpi.or.kr) 게재, 한전 요금표 전재</t>
        </is>
      </c>
      <c r="D10" s="82" t="inlineStr">
        <is>
          <t>2025-04-01</t>
        </is>
      </c>
      <c r="E10" s="82" t="inlineStr">
        <is>
          <t>B</t>
        </is>
      </c>
      <c r="F10" s="85" t="inlineStr">
        <is>
          <t>https://data.cmpi.or.kr/program/board/2025.04.01%20%EC%8B%9C%ED%96%89.pdf</t>
        </is>
      </c>
    </row>
    <row r="11" ht="30" customHeight="1" s="42">
      <c r="A11" s="82" t="inlineStr">
        <is>
          <t>S06</t>
        </is>
      </c>
      <c r="B11" s="84" t="inlineStr">
        <is>
          <t>2026년 4월 16일 전기요금 개편안 시행 정보 정리 (개편 전·후 시간대표)</t>
        </is>
      </c>
      <c r="C11" s="84" t="inlineStr">
        <is>
          <t>(주)명군전력</t>
        </is>
      </c>
      <c r="D11" s="82" t="inlineStr">
        <is>
          <t>2026-04</t>
        </is>
      </c>
      <c r="E11" s="78" t="inlineStr">
        <is>
          <t>C</t>
        </is>
      </c>
      <c r="F11" s="85" t="inlineStr">
        <is>
          <t>https://myunggun.com/2026%EB%85%84-4%EC%9B%94-16%EC%9D%BC-%EC%A0%84%EA%B8%B0%EC%9A%94%EA%B8%88-%EA%B0%9C%ED%8E%B8%EC%95%88-%EC%8B%9C%ED%96%89-%EC%A0%95%EB%B3%B4-%EC%A0%95%EB%A6%AC/</t>
        </is>
      </c>
    </row>
    <row r="12" ht="30" customHeight="1" s="42">
      <c r="A12" s="82" t="inlineStr">
        <is>
          <t>S07</t>
        </is>
      </c>
      <c r="B12" s="84" t="inlineStr">
        <is>
          <t>3분기 연료비조정단가도 1kWh당 5원 유지</t>
        </is>
      </c>
      <c r="C12" s="84" t="inlineStr">
        <is>
          <t>ZDNet Korea</t>
        </is>
      </c>
      <c r="D12" s="82" t="inlineStr">
        <is>
          <t>2026-06-22</t>
        </is>
      </c>
      <c r="E12" s="82" t="inlineStr">
        <is>
          <t>B</t>
        </is>
      </c>
      <c r="F12" s="85" t="inlineStr">
        <is>
          <t>https://zdnet.co.kr/view/?no=20260622094221</t>
        </is>
      </c>
    </row>
    <row r="13" ht="30" customHeight="1" s="42">
      <c r="A13" s="82" t="inlineStr">
        <is>
          <t>S08</t>
        </is>
      </c>
      <c r="B13" s="84" t="inlineStr">
        <is>
          <t>3분기 전기요금 동결…가정용 13분기 연속</t>
        </is>
      </c>
      <c r="C13" s="83" t="inlineStr">
        <is>
          <t>이데일리</t>
        </is>
      </c>
      <c r="D13" s="82" t="inlineStr">
        <is>
          <t>2026-06-22</t>
        </is>
      </c>
      <c r="E13" s="82" t="inlineStr">
        <is>
          <t>B</t>
        </is>
      </c>
      <c r="F13" s="85" t="inlineStr">
        <is>
          <t>https://edaily.co.kr/News/Read?mediaCodeNo=257&amp;newsId=02027046645484344</t>
        </is>
      </c>
    </row>
    <row r="14" ht="30" customHeight="1" s="42">
      <c r="A14" s="82" t="inlineStr">
        <is>
          <t>S09</t>
        </is>
      </c>
      <c r="B14" s="83" t="inlineStr">
        <is>
          <t>전력기금 요율 3.7%서 2.7%로 단계적 인하 결정</t>
        </is>
      </c>
      <c r="C14" s="83" t="inlineStr">
        <is>
          <t>전기신문</t>
        </is>
      </c>
      <c r="D14" s="82" t="inlineStr">
        <is>
          <t>2024-03</t>
        </is>
      </c>
      <c r="E14" s="82" t="inlineStr">
        <is>
          <t>B</t>
        </is>
      </c>
      <c r="F14" s="85" t="inlineStr">
        <is>
          <t>https://www.electimes.com/news/articleView.html?idxno=334694</t>
        </is>
      </c>
    </row>
    <row r="15" ht="30" customHeight="1" s="42">
      <c r="A15" s="82" t="inlineStr">
        <is>
          <t>S10</t>
        </is>
      </c>
      <c r="B15" s="83" t="inlineStr">
        <is>
          <t>제주지역 계절별·시간별 요금제 시간대 개편</t>
        </is>
      </c>
      <c r="C15" s="83" t="inlineStr">
        <is>
          <t>에너지신문</t>
        </is>
      </c>
      <c r="D15" s="82" t="inlineStr">
        <is>
          <t>2021-06</t>
        </is>
      </c>
      <c r="E15" s="82" t="inlineStr">
        <is>
          <t>B</t>
        </is>
      </c>
      <c r="F15" s="85" t="inlineStr">
        <is>
          <t>https://www.energy-news.co.kr/news/articleView.html?idxno=77182</t>
        </is>
      </c>
    </row>
    <row r="16" ht="30" customHeight="1" s="42">
      <c r="A16" s="82" t="inlineStr">
        <is>
          <t>S11</t>
        </is>
      </c>
      <c r="B16" s="84" t="inlineStr">
        <is>
          <t>9월부터 제주 계절·시간별 요금제 시간대 바뀐다</t>
        </is>
      </c>
      <c r="C16" s="84" t="inlineStr">
        <is>
          <t>ZDNet Korea</t>
        </is>
      </c>
      <c r="D16" s="82" t="inlineStr">
        <is>
          <t>2021-06-25</t>
        </is>
      </c>
      <c r="E16" s="82" t="inlineStr">
        <is>
          <t>B</t>
        </is>
      </c>
      <c r="F16" s="85" t="inlineStr">
        <is>
          <t>https://zdnet.co.kr/view/?no=20210625173955</t>
        </is>
      </c>
    </row>
    <row r="17" ht="30" customHeight="1" s="42">
      <c r="A17" s="82" t="inlineStr">
        <is>
          <t>S12</t>
        </is>
      </c>
      <c r="B17" s="83" t="inlineStr">
        <is>
          <t>계절·이용시간 따라 주택전기료 '차등화' (제주 주택용 계시별 단가)</t>
        </is>
      </c>
      <c r="C17" s="83" t="inlineStr">
        <is>
          <t>서울경제</t>
        </is>
      </c>
      <c r="D17" s="82" t="inlineStr">
        <is>
          <t>-</t>
        </is>
      </c>
      <c r="E17" s="82" t="inlineStr">
        <is>
          <t>B</t>
        </is>
      </c>
      <c r="F17" s="85" t="inlineStr">
        <is>
          <t>https://www.sedaily.com/article/13984803</t>
        </is>
      </c>
    </row>
    <row r="18" ht="30" customHeight="1" s="42">
      <c r="A18" s="82" t="inlineStr">
        <is>
          <t>S13</t>
        </is>
      </c>
      <c r="B18" s="83" t="inlineStr">
        <is>
          <t>전기요금 (문서)</t>
        </is>
      </c>
      <c r="C18" s="83" t="inlineStr">
        <is>
          <t>나무위키</t>
        </is>
      </c>
      <c r="D18" s="50" t="inlineStr">
        <is>
          <t>열람 2026-09</t>
        </is>
      </c>
      <c r="E18" s="78" t="inlineStr">
        <is>
          <t>C</t>
        </is>
      </c>
      <c r="F18" s="85" t="inlineStr">
        <is>
          <t>https://namu.wiki/w/%EC%A0%84%EA%B8%B0%EC%9A%94%EA%B8%88</t>
        </is>
      </c>
    </row>
    <row r="19" ht="30" customHeight="1" s="42">
      <c r="A19" s="82" t="inlineStr">
        <is>
          <t>S14</t>
        </is>
      </c>
      <c r="B19" s="83" t="inlineStr">
        <is>
          <t>공기열 히트펌프, 어떤 요금제 유리할까</t>
        </is>
      </c>
      <c r="C19" s="83" t="inlineStr">
        <is>
          <t>전기신문</t>
        </is>
      </c>
      <c r="D19" s="82" t="inlineStr">
        <is>
          <t>2026</t>
        </is>
      </c>
      <c r="E19" s="82" t="inlineStr">
        <is>
          <t>B</t>
        </is>
      </c>
      <c r="F19" s="85" t="inlineStr">
        <is>
          <t>https://www.electimes.com/news/articleView.html?idxno=366220</t>
        </is>
      </c>
    </row>
    <row r="20" ht="30" customHeight="1" s="42">
      <c r="A20" s="82" t="inlineStr">
        <is>
          <t>S15</t>
        </is>
      </c>
      <c r="B20" s="83" t="inlineStr">
        <is>
          <t>주택용 히트펌프 요금제 소비자 선택권 강화…계절‧시간대별 전기요금 개편안</t>
        </is>
      </c>
      <c r="C20" s="83" t="inlineStr">
        <is>
          <t>냉동공조저널</t>
        </is>
      </c>
      <c r="D20" s="82" t="inlineStr">
        <is>
          <t>2026-03</t>
        </is>
      </c>
      <c r="E20" s="82" t="inlineStr">
        <is>
          <t>B</t>
        </is>
      </c>
      <c r="F20" s="85" t="inlineStr">
        <is>
          <t>https://www.hvacrj.co.kr/news/articleView.html?idxno=30826</t>
        </is>
      </c>
    </row>
    <row r="21" ht="30" customHeight="1" s="42">
      <c r="A21" s="82" t="inlineStr">
        <is>
          <t>S16</t>
        </is>
      </c>
      <c r="B21" s="83" t="inlineStr">
        <is>
          <t>산업용 전기요금, 11개 지역별 차등 반영…남부 최대 10% 저렴</t>
        </is>
      </c>
      <c r="C21" s="83" t="inlineStr">
        <is>
          <t>대한민국 정책브리핑</t>
        </is>
      </c>
      <c r="D21" s="82" t="inlineStr">
        <is>
          <t>2026-08-26</t>
        </is>
      </c>
      <c r="E21" s="82" t="inlineStr">
        <is>
          <t>A</t>
        </is>
      </c>
      <c r="F21" s="85" t="inlineStr">
        <is>
          <t>https://www.korea.kr/news/policyNewsView.do?newsId=148970678</t>
        </is>
      </c>
    </row>
    <row r="22" ht="30" customHeight="1" s="42">
      <c r="A22" s="82" t="inlineStr">
        <is>
          <t>S17</t>
        </is>
      </c>
      <c r="B22" s="84" t="inlineStr">
        <is>
          <t>[정부 업무보고] 기후부, 산업용 차등요금 도입</t>
        </is>
      </c>
      <c r="C22" s="83" t="inlineStr">
        <is>
          <t>아주경제</t>
        </is>
      </c>
      <c r="D22" s="82" t="inlineStr">
        <is>
          <t>2026-08-04</t>
        </is>
      </c>
      <c r="E22" s="82" t="inlineStr">
        <is>
          <t>B</t>
        </is>
      </c>
      <c r="F22" s="85" t="inlineStr">
        <is>
          <t>https://www.ajunews.com/view/20260804131736213</t>
        </is>
      </c>
    </row>
    <row r="23" ht="30" customHeight="1" s="42">
      <c r="A23" s="82" t="inlineStr">
        <is>
          <t>S18</t>
        </is>
      </c>
      <c r="B23" s="83" t="inlineStr">
        <is>
          <t>전기요금 체계개편안 확정… ESS 피크감축량 인정 수준 확대 '1배 → 최대 1.34배'</t>
        </is>
      </c>
      <c r="C23" s="83" t="inlineStr">
        <is>
          <t>인더스트리뉴스</t>
        </is>
      </c>
      <c r="D23" s="82" t="inlineStr">
        <is>
          <t>2020-12</t>
        </is>
      </c>
      <c r="E23" s="82" t="inlineStr">
        <is>
          <t>B</t>
        </is>
      </c>
      <c r="F23" s="85" t="inlineStr">
        <is>
          <t>https://www.industrynews.co.kr/news/articleView.html?idxno=40764</t>
        </is>
      </c>
    </row>
    <row r="24" ht="30" customHeight="1" s="42">
      <c r="A24" s="82" t="inlineStr">
        <is>
          <t>S19</t>
        </is>
      </c>
      <c r="B24" s="83" t="inlineStr">
        <is>
          <t>한전, 피크저감용 ESS 요금 할인특례 적용</t>
        </is>
      </c>
      <c r="C24" s="83" t="inlineStr">
        <is>
          <t>한국금융신문</t>
        </is>
      </c>
      <c r="D24" s="82" t="inlineStr">
        <is>
          <t>2020-06-30</t>
        </is>
      </c>
      <c r="E24" s="82" t="inlineStr">
        <is>
          <t>B</t>
        </is>
      </c>
      <c r="F24" s="85" t="inlineStr">
        <is>
          <t>https://www.fntimes.com/html/view.php?ud=20200630155011387355469ec131_18</t>
        </is>
      </c>
    </row>
    <row r="25" ht="30" customHeight="1" s="42">
      <c r="A25" s="82" t="inlineStr">
        <is>
          <t>S20</t>
        </is>
      </c>
      <c r="B25" s="83" t="inlineStr">
        <is>
          <t>한전, 에너지캐시백 확대…1% 절감해도 최대 120원/kWh 지급</t>
        </is>
      </c>
      <c r="C25" s="83" t="inlineStr">
        <is>
          <t>전기신문</t>
        </is>
      </c>
      <c r="D25" s="82" t="inlineStr">
        <is>
          <t>2026-06</t>
        </is>
      </c>
      <c r="E25" s="82" t="inlineStr">
        <is>
          <t>B</t>
        </is>
      </c>
      <c r="F25" s="85" t="inlineStr">
        <is>
          <t>https://www.electimes.com/news/articleView.html?idxno=369659</t>
        </is>
      </c>
    </row>
    <row r="26" ht="30" customHeight="1" s="42">
      <c r="A26" s="82" t="inlineStr">
        <is>
          <t>S21</t>
        </is>
      </c>
      <c r="B26" s="83" t="inlineStr">
        <is>
          <t>기아 전기차 경제성 가이드 (한전 전기자동차 충전전력요금표, 2024.5 기준)</t>
        </is>
      </c>
      <c r="C26" s="83" t="inlineStr">
        <is>
          <t>기아</t>
        </is>
      </c>
      <c r="D26" s="82" t="inlineStr">
        <is>
          <t>2024-05</t>
        </is>
      </c>
      <c r="E26" s="82" t="inlineStr">
        <is>
          <t>B</t>
        </is>
      </c>
      <c r="F26" s="85" t="inlineStr">
        <is>
          <t>https://www.kia.com/kr/vehicles/kia-ev/guide/economy</t>
        </is>
      </c>
    </row>
    <row r="27" ht="30" customHeight="1" s="42">
      <c r="A27" s="82" t="inlineStr">
        <is>
          <t>S22</t>
        </is>
      </c>
      <c r="B27" s="83" t="inlineStr">
        <is>
          <t>전기차 충전요금 할인특례 폐지... kWh당 300원대 중반까지 오른다</t>
        </is>
      </c>
      <c r="C27" s="83" t="inlineStr">
        <is>
          <t>파이낸셜뉴스</t>
        </is>
      </c>
      <c r="D27" s="82" t="inlineStr">
        <is>
          <t>2022-06-29</t>
        </is>
      </c>
      <c r="E27" s="82" t="inlineStr">
        <is>
          <t>B</t>
        </is>
      </c>
      <c r="F27" s="85" t="inlineStr">
        <is>
          <t>https://www.fnnews.com/news/202206291833431961</t>
        </is>
      </c>
    </row>
    <row r="28" ht="30" customHeight="1" s="42">
      <c r="A28" s="82" t="inlineStr">
        <is>
          <t>S23</t>
        </is>
      </c>
      <c r="B28" s="84" t="inlineStr">
        <is>
          <t>'낮엔 인하·밤엔 인상'…개편된 산업용 전기요금 16일부터 시행</t>
        </is>
      </c>
      <c r="C28" s="83" t="inlineStr">
        <is>
          <t>전기신문</t>
        </is>
      </c>
      <c r="D28" s="82" t="inlineStr">
        <is>
          <t>2026-04</t>
        </is>
      </c>
      <c r="E28" s="82" t="inlineStr">
        <is>
          <t>B</t>
        </is>
      </c>
      <c r="F28" s="85" t="inlineStr">
        <is>
          <t>https://www.electimes.com/news/articleView.html?idxno=367002</t>
        </is>
      </c>
    </row>
    <row r="29" ht="30" customHeight="1" s="42">
      <c r="A29" s="82" t="inlineStr">
        <is>
          <t>S24</t>
        </is>
      </c>
      <c r="B29" s="83" t="inlineStr">
        <is>
          <t>산업용 전기료 개편안 공개…1㎾h당 낮 16.9원↓·밤 5.1원↑</t>
        </is>
      </c>
      <c r="C29" s="83" t="inlineStr">
        <is>
          <t>철강금속신문</t>
        </is>
      </c>
      <c r="D29" s="82" t="inlineStr">
        <is>
          <t>2026-03</t>
        </is>
      </c>
      <c r="E29" s="82" t="inlineStr">
        <is>
          <t>B</t>
        </is>
      </c>
      <c r="F29" s="85" t="inlineStr">
        <is>
          <t>https://www.snmnews.com/news/articleView.html?idxno=566434</t>
        </is>
      </c>
    </row>
    <row r="30" ht="30" customHeight="1" s="42">
      <c r="A30" s="82" t="inlineStr">
        <is>
          <t>S25</t>
        </is>
      </c>
      <c r="B30" s="83" t="inlineStr">
        <is>
          <t>남는 전기, 전기차 충전하고 할인…한전, 제주 플러스DR 확대</t>
        </is>
      </c>
      <c r="C30" s="83" t="inlineStr">
        <is>
          <t>대한경제</t>
        </is>
      </c>
      <c r="D30" s="82" t="inlineStr">
        <is>
          <t>2023-05-03</t>
        </is>
      </c>
      <c r="E30" s="82" t="inlineStr">
        <is>
          <t>B</t>
        </is>
      </c>
      <c r="F30" s="85" t="inlineStr">
        <is>
          <t>https://m.dnews.co.kr/m_home/view.jsp?idxno=202305031008070610484</t>
        </is>
      </c>
    </row>
    <row r="31" ht="30" customHeight="1" s="42">
      <c r="A31" s="82" t="inlineStr">
        <is>
          <t>S26</t>
        </is>
      </c>
      <c r="B31" s="84" t="inlineStr">
        <is>
          <t>'천덕꾸러기' 주택용 ESS, 전기료 정상화·VPP 바람 타고 안방 진입할까</t>
        </is>
      </c>
      <c r="C31" s="83" t="inlineStr">
        <is>
          <t>산경e뉴스</t>
        </is>
      </c>
      <c r="D31" s="82" t="inlineStr">
        <is>
          <t>2026-06-18</t>
        </is>
      </c>
      <c r="E31" s="82" t="inlineStr">
        <is>
          <t>B</t>
        </is>
      </c>
      <c r="F31" s="85" t="inlineStr">
        <is>
          <t>https://www.skenews.kr/news/articleView.html?idxno=52368</t>
        </is>
      </c>
    </row>
    <row r="32" ht="30" customHeight="1" s="42">
      <c r="A32" s="82" t="inlineStr">
        <is>
          <t>S27</t>
        </is>
      </c>
      <c r="B32" s="83" t="inlineStr">
        <is>
          <t>전기요금 시간대별 구조 총정리, 가정용도 저녁에 비싸질까</t>
        </is>
      </c>
      <c r="C32" s="84" t="inlineStr">
        <is>
          <t>cozymake.kr (블로그)</t>
        </is>
      </c>
      <c r="D32" s="82" t="inlineStr">
        <is>
          <t>2026</t>
        </is>
      </c>
      <c r="E32" s="78" t="inlineStr">
        <is>
          <t>C</t>
        </is>
      </c>
      <c r="F32" s="85" t="inlineStr">
        <is>
          <t>https://cozymake.kr/electricity-rate-time-of-use-structure-2026/</t>
        </is>
      </c>
    </row>
    <row r="33" ht="30" customHeight="1" s="42">
      <c r="A33" s="82" t="inlineStr">
        <is>
          <t>S28</t>
        </is>
      </c>
      <c r="B33" s="83" t="inlineStr">
        <is>
          <t>한전ON 전기요금표 (공식 최종 확인처)</t>
        </is>
      </c>
      <c r="C33" s="83" t="inlineStr">
        <is>
          <t>한국전력공사</t>
        </is>
      </c>
      <c r="D33" s="50" t="inlineStr">
        <is>
          <t>상시</t>
        </is>
      </c>
      <c r="E33" s="82" t="inlineStr">
        <is>
          <t>A</t>
        </is>
      </c>
      <c r="F33" s="85" t="inlineStr">
        <is>
          <t>https://online.kepco.co.kr/PRM004D00</t>
        </is>
      </c>
    </row>
    <row r="34" ht="30" customHeight="1" s="42">
      <c r="A34" s="82" t="inlineStr">
        <is>
          <t>S29</t>
        </is>
      </c>
      <c r="B34" s="84" t="inlineStr">
        <is>
          <t>[분석] '제주의 실험' 히트펌프 10만 대, 전력시장 바꾼다</t>
        </is>
      </c>
      <c r="C34" s="83" t="inlineStr">
        <is>
          <t>투데이에너지</t>
        </is>
      </c>
      <c r="D34" s="82" t="inlineStr">
        <is>
          <t>2026</t>
        </is>
      </c>
      <c r="E34" s="82" t="inlineStr">
        <is>
          <t>B</t>
        </is>
      </c>
      <c r="F34" s="85" t="inlineStr">
        <is>
          <t>https://www.todayenergy.kr/news/articleView.html?idxno=295257</t>
        </is>
      </c>
    </row>
    <row r="35" ht="30" customHeight="1" s="42">
      <c r="A35" s="82" t="inlineStr">
        <is>
          <t>S30</t>
        </is>
      </c>
      <c r="B35" s="83" t="inlineStr">
        <is>
          <t>제주도, 난방 전기화 본격화…히트펌프 최대 980만 원 지원</t>
        </is>
      </c>
      <c r="C35" s="83" t="inlineStr">
        <is>
          <t>제주팟</t>
        </is>
      </c>
      <c r="D35" s="82" t="inlineStr">
        <is>
          <t>2026-03-23</t>
        </is>
      </c>
      <c r="E35" s="78" t="inlineStr">
        <is>
          <t>C</t>
        </is>
      </c>
      <c r="F35" s="85" t="inlineStr">
        <is>
          <t>https://jejupod.com/2026/03/23/jeju_heatingpump_support/</t>
        </is>
      </c>
    </row>
    <row r="36" ht="30" customHeight="1" s="42">
      <c r="A36" s="82" t="inlineStr">
        <is>
          <t>S31</t>
        </is>
      </c>
      <c r="B36" s="83" t="inlineStr">
        <is>
          <t>제주 HP보급 지원대상 확대… 하반기 1,418가구 보급</t>
        </is>
      </c>
      <c r="C36" s="84" t="inlineStr">
        <is>
          <t>KHARN(칸)</t>
        </is>
      </c>
      <c r="D36" s="82" t="inlineStr">
        <is>
          <t>2026</t>
        </is>
      </c>
      <c r="E36" s="82" t="inlineStr">
        <is>
          <t>B</t>
        </is>
      </c>
      <c r="F36" s="85" t="inlineStr">
        <is>
          <t>https://www.kharn.kr/news/article.html?no=31557</t>
        </is>
      </c>
    </row>
    <row r="37" ht="30" customHeight="1" s="42">
      <c r="A37" s="82" t="inlineStr">
        <is>
          <t>A2</t>
        </is>
      </c>
      <c r="B37" s="83" t="inlineStr">
        <is>
          <t>한전 기본공급약관 시행세칙 (2026.8.1 시행판, 232쪽) — 제48조의5 주택용 계절별·시간대별 선택요금, 제48조의7 주말 할인요금, 별표4 제4호 전기자동차 충전전력·제9호 ESS 할인, 별표12 주택용 계시별 선택요금표, 부칙</t>
        </is>
      </c>
      <c r="C37" s="84" t="inlineStr">
        <is>
          <t>한국전력공사</t>
        </is>
      </c>
      <c r="D37" s="82" t="inlineStr">
        <is>
          <t>2026-08-01</t>
        </is>
      </c>
      <c r="E37" s="82" t="inlineStr">
        <is>
          <t>A</t>
        </is>
      </c>
      <c r="F37" s="85" t="inlineStr">
        <is>
          <t>https://www.kepco.co.kr/home/disclosure/regulations/internalrule/boardList.do (검증본 ZIP evidence/official_1.pdf)</t>
        </is>
      </c>
    </row>
    <row r="38" ht="30" customHeight="1" s="42">
      <c r="A38" s="82" t="inlineStr">
        <is>
          <t>S32</t>
        </is>
      </c>
      <c r="B38" s="83" t="inlineStr">
        <is>
          <t>2026년도 사업실명제 대상사업 내역서 — 수요자원(DR) 거래시장 운영 연혁 (p.10: 2021.1 플러스DR 신설, 2022.5 제주 시장 분리, 2024.3 육지 플러스DR 신설)</t>
        </is>
      </c>
      <c r="C38" s="84" t="inlineStr">
        <is>
          <t>전력거래소</t>
        </is>
      </c>
      <c r="D38" s="82" t="inlineStr">
        <is>
          <t>2026</t>
        </is>
      </c>
      <c r="E38" s="82" t="inlineStr">
        <is>
          <t>A</t>
        </is>
      </c>
      <c r="F38" s="85" t="inlineStr">
        <is>
          <t>프로젝트 문서: 2026년도 사업실명제 대상사업 내역서.pdf</t>
        </is>
      </c>
    </row>
    <row r="39" ht="30" customHeight="1" s="42">
      <c r="A39" s="82" t="inlineStr">
        <is>
          <t>S33</t>
        </is>
      </c>
      <c r="B39" s="83" t="inlineStr">
        <is>
          <t>2025년 12월 수요자원거래시장 현황 및 운영정보 (2026.3 발간) — 참여 현황, 국민DR·플러스DR 단가·실적</t>
        </is>
      </c>
      <c r="C39" s="84" t="inlineStr">
        <is>
          <t>전력거래소</t>
        </is>
      </c>
      <c r="D39" s="82" t="inlineStr">
        <is>
          <t>2026-03</t>
        </is>
      </c>
      <c r="E39" s="82" t="inlineStr">
        <is>
          <t>A</t>
        </is>
      </c>
      <c r="F39" s="85" t="inlineStr">
        <is>
          <t>https://kpx.or.kr/board.es?act=view&amp;bid=0088&amp;list_no=77044&amp;mid=a10102000000 (첨부 PDF)</t>
        </is>
      </c>
    </row>
    <row r="40" ht="30" customHeight="1" s="42">
      <c r="A40" s="82" t="inlineStr">
        <is>
          <t>S34</t>
        </is>
      </c>
      <c r="B40" s="83" t="inlineStr">
        <is>
          <t>한전 선택공급약관 제3장 긴급절전 수요조정제도 (제26~36조)</t>
        </is>
      </c>
      <c r="C40" s="84" t="inlineStr">
        <is>
          <t>한국전력공사</t>
        </is>
      </c>
      <c r="D40" s="82" t="inlineStr">
        <is>
          <t>상시</t>
        </is>
      </c>
      <c r="E40" s="82" t="inlineStr">
        <is>
          <t>A</t>
        </is>
      </c>
      <c r="F40" s="85" t="inlineStr">
        <is>
          <t>https://cyber.kepco.co.kr/ckepco/front/jsp/CY/D/C/CYDCHP00308.jsp</t>
        </is>
      </c>
    </row>
    <row r="41" ht="30" customHeight="1" s="42">
      <c r="A41" s="82" t="inlineStr">
        <is>
          <t>S35</t>
        </is>
      </c>
      <c r="B41" s="83" t="inlineStr">
        <is>
          <t>전력시장운영규칙 제12장 수요반응자원의 거래 · 별표26 정산기준 · 별표28 고객기준부하 (2026.7.24판)</t>
        </is>
      </c>
      <c r="C41" s="84" t="inlineStr">
        <is>
          <t>전력거래소</t>
        </is>
      </c>
      <c r="D41" s="82" t="inlineStr">
        <is>
          <t>2026-07-24</t>
        </is>
      </c>
      <c r="E41" s="82" t="inlineStr">
        <is>
          <t>A</t>
        </is>
      </c>
      <c r="F41" s="85" t="inlineStr">
        <is>
          <t>프로젝트 문서: [붙임2] 전력시장운영규칙전문(260724).pdf PDF p.198~247, 853~893, 911</t>
        </is>
      </c>
    </row>
    <row r="42" ht="30" customHeight="1" s="42">
      <c r="A42" s="82" t="inlineStr">
        <is>
          <t>S36</t>
        </is>
      </c>
      <c r="B42" s="83" t="inlineStr">
        <is>
          <t>쉽고 편리하게 에너지 절감하고 보상도 받자 (에너지쉼표 Auto DR, 보상 1,600원/kWh 2022 기준)</t>
        </is>
      </c>
      <c r="C42" s="84" t="inlineStr">
        <is>
          <t>에너지신문</t>
        </is>
      </c>
      <c r="D42" s="82" t="inlineStr">
        <is>
          <t>2023-06-02</t>
        </is>
      </c>
      <c r="E42" s="82" t="inlineStr">
        <is>
          <t>B</t>
        </is>
      </c>
      <c r="F42" s="85" t="inlineStr">
        <is>
          <t>https://www.energy-news.co.kr/news/articleView.html?idxno=88080</t>
        </is>
      </c>
    </row>
    <row r="43" ht="30" customHeight="1" s="42">
      <c r="A43" s="82" t="inlineStr">
        <is>
          <t>S37</t>
        </is>
      </c>
      <c r="B43" s="83" t="inlineStr">
        <is>
          <t>파란에너지-삼성전자, 스마트싱스로 국민DR 자동화</t>
        </is>
      </c>
      <c r="C43" s="84" t="inlineStr">
        <is>
          <t>전기신문</t>
        </is>
      </c>
      <c r="D43" s="82" t="inlineStr">
        <is>
          <t>2024</t>
        </is>
      </c>
      <c r="E43" s="82" t="inlineStr">
        <is>
          <t>B</t>
        </is>
      </c>
      <c r="F43" s="85" t="inlineStr">
        <is>
          <t>https://www.electimes.com/news/articleView.html?idxno=343210</t>
        </is>
      </c>
    </row>
    <row r="44" ht="30" customHeight="1" s="42">
      <c r="A44" s="82" t="inlineStr">
        <is>
          <t>S38</t>
        </is>
      </c>
      <c r="B44" s="83" t="inlineStr">
        <is>
          <t>낮에 충전하면 요금 할인, 전력거래소 플러스DR로 전기차 유지비 잡는다 (플러스DR과 한전 주말할인을 혼용 서술 — 교차확인용)</t>
        </is>
      </c>
      <c r="C44" s="84" t="inlineStr">
        <is>
          <t>Businesskorea</t>
        </is>
      </c>
      <c r="D44" s="82" t="inlineStr">
        <is>
          <t>2026</t>
        </is>
      </c>
      <c r="E44" s="82" t="inlineStr">
        <is>
          <t>B</t>
        </is>
      </c>
      <c r="F44" s="85" t="inlineStr">
        <is>
          <t>https://www.businesskorea.co.kr/news/articleView.html?idxno=273132</t>
        </is>
      </c>
    </row>
  </sheetData>
  <hyperlinks>
    <hyperlink xmlns:r="http://schemas.openxmlformats.org/officeDocument/2006/relationships" ref="F5" display="프로젝트 문서: 기본공급약관 및 시행세칙(260801).pdf" r:id="rId1"/>
    <hyperlink xmlns:r="http://schemas.openxmlformats.org/officeDocument/2006/relationships" ref="F6" display="https://mcee.go.kr/home/web/board/read.do?boardCategoryId=&amp;boardId=1857140&amp;boardMasterId=939&amp;menuId=10598" r:id="rId2"/>
    <hyperlink xmlns:r="http://schemas.openxmlformats.org/officeDocument/2006/relationships" ref="F7" display="https://www.korea.kr/news/policyNewsView.do?newsId=148960823" r:id="rId3"/>
    <hyperlink xmlns:r="http://schemas.openxmlformats.org/officeDocument/2006/relationships" ref="F8" display="https://www.korea.kr/news/policyNewsView.do?newsId=148962675" r:id="rId4"/>
    <hyperlink xmlns:r="http://schemas.openxmlformats.org/officeDocument/2006/relationships" ref="F9" display="https://www.korea.kr/briefing/policyBriefingView.do?newsId=156755866" r:id="rId5"/>
    <hyperlink xmlns:r="http://schemas.openxmlformats.org/officeDocument/2006/relationships" ref="F10" display="https://data.cmpi.or.kr/program/board/2025.04.01%20%EC%8B%9C%ED%96%89.pdf" r:id="rId6"/>
    <hyperlink xmlns:r="http://schemas.openxmlformats.org/officeDocument/2006/relationships" ref="F11" display="https://myunggun.com/2026%EB%85%84-4%EC%9B%94-16%EC%9D%BC-%EC%A0%84%EA%B8%B0%EC%9A%94%EA%B8%88-%EA%B0%9C%ED%8E%B8%EC%95%88-%EC%8B%9C%ED%96%89-%EC%A0%95%EB%B3%B4-%EC%A0%95%EB%A6%AC/" r:id="rId7"/>
    <hyperlink xmlns:r="http://schemas.openxmlformats.org/officeDocument/2006/relationships" ref="F12" display="https://zdnet.co.kr/view/?no=20260622094221" r:id="rId8"/>
    <hyperlink xmlns:r="http://schemas.openxmlformats.org/officeDocument/2006/relationships" ref="F13" display="https://edaily.co.kr/News/Read?mediaCodeNo=257&amp;newsId=02027046645484344" r:id="rId9"/>
    <hyperlink xmlns:r="http://schemas.openxmlformats.org/officeDocument/2006/relationships" ref="F14" display="https://www.electimes.com/news/articleView.html?idxno=334694" r:id="rId10"/>
    <hyperlink xmlns:r="http://schemas.openxmlformats.org/officeDocument/2006/relationships" ref="F15" display="https://www.energy-news.co.kr/news/articleView.html?idxno=77182" r:id="rId11"/>
    <hyperlink xmlns:r="http://schemas.openxmlformats.org/officeDocument/2006/relationships" ref="F16" display="https://zdnet.co.kr/view/?no=20210625173955" r:id="rId12"/>
    <hyperlink xmlns:r="http://schemas.openxmlformats.org/officeDocument/2006/relationships" ref="F17" display="https://www.sedaily.com/article/13984803" r:id="rId13"/>
    <hyperlink xmlns:r="http://schemas.openxmlformats.org/officeDocument/2006/relationships" ref="F18" display="https://namu.wiki/w/%EC%A0%84%EA%B8%B0%EC%9A%94%EA%B8%88" r:id="rId14"/>
    <hyperlink xmlns:r="http://schemas.openxmlformats.org/officeDocument/2006/relationships" ref="F19" display="https://www.electimes.com/news/articleView.html?idxno=366220" r:id="rId15"/>
    <hyperlink xmlns:r="http://schemas.openxmlformats.org/officeDocument/2006/relationships" ref="F20" display="https://www.hvacrj.co.kr/news/articleView.html?idxno=30826" r:id="rId16"/>
    <hyperlink xmlns:r="http://schemas.openxmlformats.org/officeDocument/2006/relationships" ref="F21" display="https://www.korea.kr/news/policyNewsView.do?newsId=148970678" r:id="rId17"/>
    <hyperlink xmlns:r="http://schemas.openxmlformats.org/officeDocument/2006/relationships" ref="F22" display="https://www.ajunews.com/view/20260804131736213" r:id="rId18"/>
    <hyperlink xmlns:r="http://schemas.openxmlformats.org/officeDocument/2006/relationships" ref="F23" display="https://www.industrynews.co.kr/news/articleView.html?idxno=40764" r:id="rId19"/>
    <hyperlink xmlns:r="http://schemas.openxmlformats.org/officeDocument/2006/relationships" ref="F24" display="https://www.fntimes.com/html/view.php?ud=20200630155011387355469ec131_18" r:id="rId20"/>
    <hyperlink xmlns:r="http://schemas.openxmlformats.org/officeDocument/2006/relationships" ref="F25" display="https://www.electimes.com/news/articleView.html?idxno=369659" r:id="rId21"/>
    <hyperlink xmlns:r="http://schemas.openxmlformats.org/officeDocument/2006/relationships" ref="F26" display="https://www.kia.com/kr/vehicles/kia-ev/guide/economy" r:id="rId22"/>
    <hyperlink xmlns:r="http://schemas.openxmlformats.org/officeDocument/2006/relationships" ref="F27" display="https://www.fnnews.com/news/202206291833431961" r:id="rId23"/>
    <hyperlink xmlns:r="http://schemas.openxmlformats.org/officeDocument/2006/relationships" ref="F28" display="https://www.electimes.com/news/articleView.html?idxno=367002" r:id="rId24"/>
    <hyperlink xmlns:r="http://schemas.openxmlformats.org/officeDocument/2006/relationships" ref="F29" display="https://www.snmnews.com/news/articleView.html?idxno=566434" r:id="rId25"/>
    <hyperlink xmlns:r="http://schemas.openxmlformats.org/officeDocument/2006/relationships" ref="F30" display="https://m.dnews.co.kr/m_home/view.jsp?idxno=202305031008070610484" r:id="rId26"/>
    <hyperlink xmlns:r="http://schemas.openxmlformats.org/officeDocument/2006/relationships" ref="F31" display="https://www.skenews.kr/news/articleView.html?idxno=52368" r:id="rId27"/>
    <hyperlink xmlns:r="http://schemas.openxmlformats.org/officeDocument/2006/relationships" ref="F32" display="https://cozymake.kr/electricity-rate-time-of-use-structure-2026/" r:id="rId28"/>
    <hyperlink xmlns:r="http://schemas.openxmlformats.org/officeDocument/2006/relationships" ref="F33" display="https://online.kepco.co.kr/PRM004D00" r:id="rId29"/>
    <hyperlink xmlns:r="http://schemas.openxmlformats.org/officeDocument/2006/relationships" ref="F34" display="https://www.todayenergy.kr/news/articleView.html?idxno=295257" r:id="rId30"/>
    <hyperlink xmlns:r="http://schemas.openxmlformats.org/officeDocument/2006/relationships" ref="F35" display="https://jejupod.com/2026/03/23/jeju_heatingpump_support/" r:id="rId31"/>
    <hyperlink xmlns:r="http://schemas.openxmlformats.org/officeDocument/2006/relationships" ref="F36" display="https://www.kharn.kr/news/article.html?no=31557" r:id="rId32"/>
  </hyperlink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2026-09-15T01:53:52Z</dcterms:created>
  <dcterms:modified xsi:type="dcterms:W3CDTF">2026-09-15T07:04:04Z</dcterms:modified>
  <cp:revision>0</cp:revision>
</cp:coreProperties>
</file>